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altergc\Documents\Historical Demography\Handbook\Data\Taiwan\"/>
    </mc:Choice>
  </mc:AlternateContent>
  <xr:revisionPtr revIDLastSave="0" documentId="13_ncr:1_{B978C1F2-6974-47F5-9871-5FC56C8BC678}" xr6:coauthVersionLast="47" xr6:coauthVersionMax="47" xr10:uidLastSave="{00000000-0000-0000-0000-000000000000}"/>
  <bookViews>
    <workbookView xWindow="-108" yWindow="-108" windowWidth="23256" windowHeight="12456" xr2:uid="{4BD92465-7BEF-4C2B-A409-114DC8EC2BE7}"/>
  </bookViews>
  <sheets>
    <sheet name="Population by 5-year age groups" sheetId="1" r:id="rId1"/>
    <sheet name="Dependency" sheetId="8" r:id="rId2"/>
    <sheet name="pp1970" sheetId="3" r:id="rId3"/>
    <sheet name="pp2012" sheetId="6" r:id="rId4"/>
    <sheet name="pp2054" sheetId="7" r:id="rId5"/>
    <sheet name="PPdata"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Z56" i="1" l="1"/>
  <c r="CY56" i="1"/>
  <c r="CX56" i="1"/>
  <c r="CW56" i="1"/>
  <c r="CV56" i="1"/>
  <c r="CU56" i="1"/>
  <c r="CT56" i="1"/>
  <c r="CS56" i="1"/>
  <c r="CR56" i="1"/>
  <c r="CQ56" i="1"/>
  <c r="CP56" i="1"/>
  <c r="CO56" i="1"/>
  <c r="CN56" i="1"/>
  <c r="CM56" i="1"/>
  <c r="CL56" i="1"/>
  <c r="CK56" i="1"/>
  <c r="CJ56" i="1"/>
  <c r="CI56" i="1"/>
  <c r="CH56" i="1"/>
  <c r="CG56" i="1"/>
  <c r="CF56" i="1"/>
  <c r="CE56" i="1"/>
  <c r="CD56" i="1"/>
  <c r="CC56" i="1"/>
  <c r="CB56" i="1"/>
  <c r="CA56" i="1"/>
  <c r="BZ56" i="1"/>
  <c r="BY56" i="1"/>
  <c r="BX56" i="1"/>
  <c r="BW56" i="1"/>
  <c r="BV56" i="1"/>
  <c r="BU56" i="1"/>
  <c r="BT56" i="1"/>
  <c r="BS56" i="1"/>
  <c r="BR56" i="1"/>
  <c r="BQ56" i="1"/>
  <c r="BP56" i="1"/>
  <c r="BO56" i="1"/>
  <c r="BN56" i="1"/>
  <c r="BM56" i="1"/>
  <c r="BL56" i="1"/>
  <c r="BK56" i="1"/>
  <c r="BJ56" i="1"/>
  <c r="BI56" i="1"/>
  <c r="BH56" i="1"/>
  <c r="BG56" i="1"/>
  <c r="BF56" i="1"/>
  <c r="BE56" i="1"/>
  <c r="BD56" i="1"/>
  <c r="BC56" i="1"/>
  <c r="BB56" i="1"/>
  <c r="BA56" i="1"/>
  <c r="AZ56" i="1"/>
  <c r="AY56" i="1"/>
  <c r="AX56" i="1"/>
  <c r="AW56" i="1"/>
  <c r="AV56" i="1"/>
  <c r="AU56" i="1"/>
  <c r="AT56" i="1"/>
  <c r="AS56" i="1"/>
  <c r="AR56" i="1"/>
  <c r="AQ56" i="1"/>
  <c r="AP56" i="1"/>
  <c r="AO56" i="1"/>
  <c r="AN56" i="1"/>
  <c r="AM56" i="1"/>
  <c r="AL56" i="1"/>
  <c r="AK56" i="1"/>
  <c r="AJ56" i="1"/>
  <c r="AI56" i="1"/>
  <c r="AH56" i="1"/>
  <c r="AG56" i="1"/>
  <c r="AF56" i="1"/>
  <c r="AE56" i="1"/>
  <c r="AD56" i="1"/>
  <c r="AC56" i="1"/>
  <c r="AB56" i="1"/>
  <c r="AA56" i="1"/>
  <c r="Z56" i="1"/>
  <c r="Y56" i="1"/>
  <c r="X56" i="1"/>
  <c r="W56" i="1"/>
  <c r="V56" i="1"/>
  <c r="U56" i="1"/>
  <c r="T56" i="1"/>
  <c r="S56" i="1"/>
  <c r="R56" i="1"/>
  <c r="Q56" i="1"/>
  <c r="P56" i="1"/>
  <c r="O56" i="1"/>
  <c r="N56" i="1"/>
  <c r="M56" i="1"/>
  <c r="L56" i="1"/>
  <c r="K56" i="1"/>
  <c r="J56" i="1"/>
  <c r="I56" i="1"/>
  <c r="H56" i="1"/>
  <c r="G56" i="1"/>
  <c r="F56" i="1"/>
  <c r="E56" i="1"/>
  <c r="CZ55" i="1"/>
  <c r="CY55" i="1"/>
  <c r="CX55" i="1"/>
  <c r="CW55" i="1"/>
  <c r="CV55" i="1"/>
  <c r="CU55" i="1"/>
  <c r="CT55" i="1"/>
  <c r="CS55" i="1"/>
  <c r="CR55" i="1"/>
  <c r="CQ55" i="1"/>
  <c r="CP55" i="1"/>
  <c r="CO55" i="1"/>
  <c r="CN55" i="1"/>
  <c r="CM55" i="1"/>
  <c r="CL55" i="1"/>
  <c r="CK55" i="1"/>
  <c r="CJ55" i="1"/>
  <c r="CI55" i="1"/>
  <c r="CH55" i="1"/>
  <c r="CG55" i="1"/>
  <c r="CF55" i="1"/>
  <c r="CE55" i="1"/>
  <c r="CD55" i="1"/>
  <c r="CC55" i="1"/>
  <c r="CB55" i="1"/>
  <c r="CA55" i="1"/>
  <c r="BZ55" i="1"/>
  <c r="BY55" i="1"/>
  <c r="BX55" i="1"/>
  <c r="BW55" i="1"/>
  <c r="BV55" i="1"/>
  <c r="BU55" i="1"/>
  <c r="BT55" i="1"/>
  <c r="BS55" i="1"/>
  <c r="BR55" i="1"/>
  <c r="BQ55" i="1"/>
  <c r="BP55" i="1"/>
  <c r="BO55" i="1"/>
  <c r="BN55" i="1"/>
  <c r="BM55" i="1"/>
  <c r="BL55" i="1"/>
  <c r="BK55" i="1"/>
  <c r="BJ55" i="1"/>
  <c r="BI55" i="1"/>
  <c r="BH55" i="1"/>
  <c r="BG55" i="1"/>
  <c r="BF55" i="1"/>
  <c r="BE55" i="1"/>
  <c r="BD55" i="1"/>
  <c r="BC55" i="1"/>
  <c r="BB55" i="1"/>
  <c r="BA55" i="1"/>
  <c r="AZ55" i="1"/>
  <c r="AY55" i="1"/>
  <c r="AX55" i="1"/>
  <c r="AW55" i="1"/>
  <c r="AV55" i="1"/>
  <c r="AU55" i="1"/>
  <c r="AT55" i="1"/>
  <c r="AS55" i="1"/>
  <c r="AR55" i="1"/>
  <c r="AQ55" i="1"/>
  <c r="AP55" i="1"/>
  <c r="AO55" i="1"/>
  <c r="AN55" i="1"/>
  <c r="AM55" i="1"/>
  <c r="AL55" i="1"/>
  <c r="AK55" i="1"/>
  <c r="AJ55" i="1"/>
  <c r="AI55" i="1"/>
  <c r="AH55" i="1"/>
  <c r="AG55" i="1"/>
  <c r="AF55" i="1"/>
  <c r="AE55" i="1"/>
  <c r="AD55" i="1"/>
  <c r="AC55" i="1"/>
  <c r="AB55" i="1"/>
  <c r="AA55" i="1"/>
  <c r="Z55" i="1"/>
  <c r="Y55" i="1"/>
  <c r="X55" i="1"/>
  <c r="W55" i="1"/>
  <c r="V55" i="1"/>
  <c r="U55" i="1"/>
  <c r="T55" i="1"/>
  <c r="S55" i="1"/>
  <c r="R55" i="1"/>
  <c r="Q55" i="1"/>
  <c r="P55" i="1"/>
  <c r="O55" i="1"/>
  <c r="N55" i="1"/>
  <c r="M55" i="1"/>
  <c r="L55" i="1"/>
  <c r="K55" i="1"/>
  <c r="J55" i="1"/>
  <c r="I55" i="1"/>
  <c r="H55" i="1"/>
  <c r="G55" i="1"/>
  <c r="F55" i="1"/>
  <c r="E55" i="1"/>
  <c r="D55" i="1"/>
  <c r="B9" i="8"/>
  <c r="B13" i="8" s="1"/>
  <c r="B8" i="8"/>
  <c r="B7" i="8"/>
  <c r="B5" i="8"/>
  <c r="B4" i="8"/>
  <c r="B12" i="8" s="1"/>
  <c r="B3" i="8"/>
  <c r="B1" i="8"/>
  <c r="C2" i="2"/>
  <c r="C3" i="2"/>
  <c r="C4" i="2"/>
  <c r="C5" i="2"/>
  <c r="C6" i="2"/>
  <c r="C7" i="2"/>
  <c r="C8" i="2"/>
  <c r="C9" i="2"/>
  <c r="C10" i="2"/>
  <c r="C11" i="2"/>
  <c r="C12" i="2"/>
  <c r="C13" i="2"/>
  <c r="C14" i="2"/>
  <c r="C15" i="2"/>
  <c r="C16" i="2"/>
  <c r="C17" i="2"/>
  <c r="C18" i="2"/>
  <c r="C19" i="2"/>
  <c r="C20" i="2"/>
  <c r="C21" i="2"/>
  <c r="C22" i="2"/>
  <c r="F22" i="2"/>
  <c r="E22" i="2"/>
  <c r="F21" i="2"/>
  <c r="E21" i="2"/>
  <c r="F20" i="2"/>
  <c r="E20" i="2"/>
  <c r="F19" i="2"/>
  <c r="E19" i="2"/>
  <c r="F18" i="2"/>
  <c r="E18" i="2"/>
  <c r="D18" i="2"/>
  <c r="F17" i="2"/>
  <c r="E17" i="2"/>
  <c r="D17" i="2"/>
  <c r="F16" i="2"/>
  <c r="E16" i="2"/>
  <c r="D16" i="2"/>
  <c r="F15" i="2"/>
  <c r="E15" i="2"/>
  <c r="D15" i="2"/>
  <c r="F14" i="2"/>
  <c r="E14" i="2"/>
  <c r="D14" i="2"/>
  <c r="F13" i="2"/>
  <c r="E13" i="2"/>
  <c r="D13" i="2"/>
  <c r="F12" i="2"/>
  <c r="E12" i="2"/>
  <c r="D12" i="2"/>
  <c r="F11" i="2"/>
  <c r="E11" i="2"/>
  <c r="D11" i="2"/>
  <c r="F10" i="2"/>
  <c r="E10" i="2"/>
  <c r="D10" i="2"/>
  <c r="F9" i="2"/>
  <c r="E9" i="2"/>
  <c r="D9" i="2"/>
  <c r="F8" i="2"/>
  <c r="E8" i="2"/>
  <c r="D8" i="2"/>
  <c r="F7" i="2"/>
  <c r="E7" i="2"/>
  <c r="D7" i="2"/>
  <c r="F6" i="2"/>
  <c r="E6" i="2"/>
  <c r="D6" i="2"/>
  <c r="F5" i="2"/>
  <c r="E5" i="2"/>
  <c r="D5" i="2"/>
  <c r="F4" i="2"/>
  <c r="E4" i="2"/>
  <c r="D4" i="2"/>
  <c r="F3" i="2"/>
  <c r="E3" i="2"/>
  <c r="D3" i="2"/>
  <c r="F2" i="2"/>
  <c r="E2" i="2"/>
  <c r="D2" i="2"/>
  <c r="F43" i="2"/>
  <c r="E43" i="2"/>
  <c r="F42" i="2"/>
  <c r="E42" i="2"/>
  <c r="F41" i="2"/>
  <c r="E41" i="2"/>
  <c r="F40" i="2"/>
  <c r="E40" i="2"/>
  <c r="F39" i="2"/>
  <c r="E39" i="2"/>
  <c r="F38" i="2"/>
  <c r="E38" i="2"/>
  <c r="F37" i="2"/>
  <c r="E37" i="2"/>
  <c r="F36" i="2"/>
  <c r="E36" i="2"/>
  <c r="F35" i="2"/>
  <c r="E35" i="2"/>
  <c r="F34" i="2"/>
  <c r="E34" i="2"/>
  <c r="F33" i="2"/>
  <c r="E33" i="2"/>
  <c r="F32" i="2"/>
  <c r="E32" i="2"/>
  <c r="F31" i="2"/>
  <c r="E31" i="2"/>
  <c r="F30" i="2"/>
  <c r="E30" i="2"/>
  <c r="F29" i="2"/>
  <c r="E29" i="2"/>
  <c r="F28" i="2"/>
  <c r="E28" i="2"/>
  <c r="F27" i="2"/>
  <c r="E27" i="2"/>
  <c r="F26" i="2"/>
  <c r="E26" i="2"/>
  <c r="F25" i="2"/>
  <c r="E25" i="2"/>
  <c r="F24" i="2"/>
  <c r="E24" i="2"/>
  <c r="F23" i="2"/>
  <c r="E23" i="2"/>
  <c r="C43" i="2"/>
  <c r="B43" i="2"/>
  <c r="C42" i="2"/>
  <c r="B42" i="2"/>
  <c r="C41" i="2"/>
  <c r="B41" i="2"/>
  <c r="C40" i="2"/>
  <c r="B40" i="2"/>
  <c r="D39" i="2"/>
  <c r="C39" i="2"/>
  <c r="B39" i="2"/>
  <c r="D38" i="2"/>
  <c r="C38" i="2"/>
  <c r="B38" i="2"/>
  <c r="D37" i="2"/>
  <c r="C37" i="2"/>
  <c r="B37" i="2"/>
  <c r="D36" i="2"/>
  <c r="C36" i="2"/>
  <c r="B36" i="2"/>
  <c r="D35" i="2"/>
  <c r="C35" i="2"/>
  <c r="B35" i="2"/>
  <c r="D34" i="2"/>
  <c r="C34" i="2"/>
  <c r="B34" i="2"/>
  <c r="D33" i="2"/>
  <c r="C33" i="2"/>
  <c r="B33" i="2"/>
  <c r="D32" i="2"/>
  <c r="C32" i="2"/>
  <c r="B32" i="2"/>
  <c r="D31" i="2"/>
  <c r="C31" i="2"/>
  <c r="B31" i="2"/>
  <c r="D30" i="2"/>
  <c r="C30" i="2"/>
  <c r="B30" i="2"/>
  <c r="D29" i="2"/>
  <c r="C29" i="2"/>
  <c r="B29" i="2"/>
  <c r="D28" i="2"/>
  <c r="C28" i="2"/>
  <c r="B28" i="2"/>
  <c r="D27" i="2"/>
  <c r="C27" i="2"/>
  <c r="B27" i="2"/>
  <c r="D26" i="2"/>
  <c r="C26" i="2"/>
  <c r="B26" i="2"/>
  <c r="D25" i="2"/>
  <c r="C25" i="2"/>
  <c r="B25" i="2"/>
  <c r="D24" i="2"/>
  <c r="C24" i="2"/>
  <c r="B24" i="2"/>
  <c r="D23" i="2"/>
  <c r="C23" i="2"/>
  <c r="B23" i="2"/>
  <c r="B22" i="2"/>
  <c r="B21" i="2"/>
  <c r="B20" i="2"/>
  <c r="B19" i="2"/>
  <c r="B18" i="2"/>
  <c r="B17" i="2"/>
  <c r="B16" i="2"/>
  <c r="B15" i="2"/>
  <c r="B14" i="2"/>
  <c r="B13" i="2"/>
  <c r="B12" i="2"/>
  <c r="B11" i="2"/>
  <c r="B10" i="2"/>
  <c r="B9" i="2"/>
  <c r="B8" i="2"/>
  <c r="B7" i="2"/>
  <c r="B6" i="2"/>
  <c r="B5" i="2"/>
  <c r="B4" i="2"/>
  <c r="B3" i="2"/>
  <c r="B2" i="2"/>
  <c r="C1" i="2"/>
  <c r="B1" i="2"/>
  <c r="B11" i="8" l="1"/>
  <c r="B16" i="8"/>
  <c r="B15" i="8"/>
  <c r="B17" i="8" s="1"/>
</calcChain>
</file>

<file path=xl/sharedStrings.xml><?xml version="1.0" encoding="utf-8"?>
<sst xmlns="http://schemas.openxmlformats.org/spreadsheetml/2006/main" count="378" uniqueCount="71">
  <si>
    <t>Table Name：Custom_SinglePopulation</t>
  </si>
  <si>
    <t xml:space="preserve">Title：Population by 5-year age groups </t>
  </si>
  <si>
    <t>Update Date：2025.03.12</t>
  </si>
  <si>
    <t>Download Date：2025.04.24 22:32</t>
  </si>
  <si>
    <t>Search Year：1970~2070</t>
  </si>
  <si>
    <t>Source：National Development Council</t>
  </si>
  <si>
    <t>Population Projections for the R.O.C (Taiwan)</t>
  </si>
  <si>
    <t>Table URL：https://pop-proj.ndc.gov.tw/main_en/Custom_Detail_Statistics_Search.aspx?n=175&amp;_Query=e483d58e-492b-4d18-bdbb-a7bd46fb777e</t>
  </si>
  <si>
    <t>Variant</t>
  </si>
  <si>
    <t>Gender</t>
  </si>
  <si>
    <t>Age</t>
  </si>
  <si>
    <t>Data value (persons)</t>
  </si>
  <si>
    <t>Medium</t>
  </si>
  <si>
    <t>Male</t>
  </si>
  <si>
    <t>'0-4</t>
  </si>
  <si>
    <t>'5-9</t>
  </si>
  <si>
    <t>'10-14</t>
  </si>
  <si>
    <t>'15-19</t>
  </si>
  <si>
    <t>'20-24</t>
  </si>
  <si>
    <t>'25-29</t>
  </si>
  <si>
    <t>'30-34</t>
  </si>
  <si>
    <t>'35-39</t>
  </si>
  <si>
    <t>'40-44</t>
  </si>
  <si>
    <t>'45-49</t>
  </si>
  <si>
    <t>'50-54</t>
  </si>
  <si>
    <t>'55-59</t>
  </si>
  <si>
    <t>'60-64</t>
  </si>
  <si>
    <t>'65-69</t>
  </si>
  <si>
    <t>'70-74</t>
  </si>
  <si>
    <t>'75-79</t>
  </si>
  <si>
    <t>'80-84</t>
  </si>
  <si>
    <t>'85-89</t>
  </si>
  <si>
    <t>-</t>
  </si>
  <si>
    <t>'90-94</t>
  </si>
  <si>
    <t>'95-99</t>
  </si>
  <si>
    <t>'100 +</t>
  </si>
  <si>
    <t>Female</t>
  </si>
  <si>
    <t>● The data before 1971 does not include Kinmen County and Lienchiang County.</t>
  </si>
  <si>
    <t>● The data from 2025 onwards is projected.</t>
  </si>
  <si>
    <t>● Due to adjustments made to the statistical classification of the highest age in 1971, 1975, and 1992, the Change from previous year" and "Change in percent from previous year" for these connection points are not calculated.</t>
  </si>
  <si>
    <t>0-4</t>
  </si>
  <si>
    <t>15-19</t>
  </si>
  <si>
    <t>20-24</t>
  </si>
  <si>
    <t>25-29</t>
  </si>
  <si>
    <t>30-34</t>
  </si>
  <si>
    <t>35-39</t>
  </si>
  <si>
    <t>40-44</t>
  </si>
  <si>
    <t>45-49</t>
  </si>
  <si>
    <t>50-54</t>
  </si>
  <si>
    <t>55-59</t>
  </si>
  <si>
    <t>60-64</t>
  </si>
  <si>
    <t>65-69</t>
  </si>
  <si>
    <t>70-74</t>
  </si>
  <si>
    <t>75-79</t>
  </si>
  <si>
    <t>80-84</t>
  </si>
  <si>
    <t>85-89</t>
  </si>
  <si>
    <t>90-94</t>
  </si>
  <si>
    <t>95-99</t>
  </si>
  <si>
    <t>100 +</t>
  </si>
  <si>
    <t>5-9</t>
  </si>
  <si>
    <t>10-14</t>
  </si>
  <si>
    <t>males</t>
  </si>
  <si>
    <t>0-14</t>
  </si>
  <si>
    <t>15-64</t>
  </si>
  <si>
    <t>65+</t>
  </si>
  <si>
    <t>females</t>
  </si>
  <si>
    <t>ratio &lt;15</t>
  </si>
  <si>
    <t>ratio 65+</t>
  </si>
  <si>
    <t>both</t>
  </si>
  <si>
    <t>Total</t>
  </si>
  <si>
    <t>dif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</si>
</sst>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66FF"/>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6">
    <xf numFmtId="0" fontId="0" fillId="0" borderId="0" xfId="0"/>
    <xf numFmtId="49" fontId="0" fillId="0" borderId="0" xfId="0" applyNumberFormat="1"/>
    <xf numFmtId="0" fontId="14" fillId="0" borderId="0" xfId="0" applyFont="1"/>
    <xf numFmtId="0" fontId="0" fillId="33" borderId="0" xfId="0" applyFill="1"/>
    <xf numFmtId="43" fontId="0" fillId="33" borderId="0" xfId="42" applyFont="1" applyFill="1"/>
    <xf numFmtId="0" fontId="0" fillId="34"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66FF"/>
      <color rgb="FFEEB5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chartsheet" Target="chartsheets/sheet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3.xml"/><Relationship Id="rId5" Type="http://schemas.openxmlformats.org/officeDocument/2006/relationships/chartsheet" Target="chartsheets/sheet3.xml"/><Relationship Id="rId10" Type="http://schemas.openxmlformats.org/officeDocument/2006/relationships/calcChain" Target="calcChain.xml"/><Relationship Id="rId4" Type="http://schemas.openxmlformats.org/officeDocument/2006/relationships/chartsheet" Target="chartsheets/sheet2.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4707691867386603E-2"/>
          <c:y val="2.220496758662838E-2"/>
          <c:w val="0.88472215875073335"/>
          <c:h val="0.85464504238732808"/>
        </c:manualLayout>
      </c:layout>
      <c:barChart>
        <c:barDir val="bar"/>
        <c:grouping val="clustered"/>
        <c:varyColors val="0"/>
        <c:ser>
          <c:idx val="0"/>
          <c:order val="0"/>
          <c:tx>
            <c:v>Males</c:v>
          </c:tx>
          <c:spPr>
            <a:solidFill>
              <a:schemeClr val="tx2">
                <a:lumMod val="50000"/>
                <a:lumOff val="50000"/>
              </a:schemeClr>
            </a:solidFill>
            <a:ln>
              <a:noFill/>
            </a:ln>
            <a:effectLst/>
          </c:spPr>
          <c:invertIfNegative val="0"/>
          <c:cat>
            <c:strRef>
              <c:f>PPdata!$A$2:$A$22</c:f>
              <c:strCache>
                <c:ptCount val="21"/>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80-84</c:v>
                </c:pt>
                <c:pt idx="17">
                  <c:v>85-89</c:v>
                </c:pt>
                <c:pt idx="18">
                  <c:v>90-94</c:v>
                </c:pt>
                <c:pt idx="19">
                  <c:v>95-99</c:v>
                </c:pt>
                <c:pt idx="20">
                  <c:v>100 +</c:v>
                </c:pt>
              </c:strCache>
            </c:strRef>
          </c:cat>
          <c:val>
            <c:numRef>
              <c:f>PPdata!$D$2:$D$22</c:f>
              <c:numCache>
                <c:formatCode>General</c:formatCode>
                <c:ptCount val="21"/>
                <c:pt idx="0">
                  <c:v>-974034</c:v>
                </c:pt>
                <c:pt idx="1">
                  <c:v>-1032745</c:v>
                </c:pt>
                <c:pt idx="2">
                  <c:v>-988025</c:v>
                </c:pt>
                <c:pt idx="3">
                  <c:v>-899138</c:v>
                </c:pt>
                <c:pt idx="4">
                  <c:v>-613923</c:v>
                </c:pt>
                <c:pt idx="5">
                  <c:v>-476385</c:v>
                </c:pt>
                <c:pt idx="6">
                  <c:v>-464656</c:v>
                </c:pt>
                <c:pt idx="7">
                  <c:v>-457330</c:v>
                </c:pt>
                <c:pt idx="8">
                  <c:v>-510649</c:v>
                </c:pt>
                <c:pt idx="9">
                  <c:v>-419615</c:v>
                </c:pt>
                <c:pt idx="10">
                  <c:v>-300538</c:v>
                </c:pt>
                <c:pt idx="11">
                  <c:v>-244831</c:v>
                </c:pt>
                <c:pt idx="12">
                  <c:v>-157392</c:v>
                </c:pt>
                <c:pt idx="13">
                  <c:v>-99126</c:v>
                </c:pt>
                <c:pt idx="14">
                  <c:v>-55176</c:v>
                </c:pt>
                <c:pt idx="15">
                  <c:v>-25421</c:v>
                </c:pt>
                <c:pt idx="16">
                  <c:v>-13883</c:v>
                </c:pt>
              </c:numCache>
            </c:numRef>
          </c:val>
          <c:extLst>
            <c:ext xmlns:c16="http://schemas.microsoft.com/office/drawing/2014/chart" uri="{C3380CC4-5D6E-409C-BE32-E72D297353CC}">
              <c16:uniqueId val="{00000000-86D1-4600-AAA3-1F356AC5AF38}"/>
            </c:ext>
          </c:extLst>
        </c:ser>
        <c:ser>
          <c:idx val="1"/>
          <c:order val="1"/>
          <c:tx>
            <c:v>Females</c:v>
          </c:tx>
          <c:spPr>
            <a:solidFill>
              <a:srgbClr val="C00000"/>
            </a:solidFill>
            <a:ln>
              <a:noFill/>
            </a:ln>
            <a:effectLst/>
          </c:spPr>
          <c:invertIfNegative val="0"/>
          <c:cat>
            <c:strRef>
              <c:f>PPdata!$A$2:$A$22</c:f>
              <c:strCache>
                <c:ptCount val="21"/>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80-84</c:v>
                </c:pt>
                <c:pt idx="17">
                  <c:v>85-89</c:v>
                </c:pt>
                <c:pt idx="18">
                  <c:v>90-94</c:v>
                </c:pt>
                <c:pt idx="19">
                  <c:v>95-99</c:v>
                </c:pt>
                <c:pt idx="20">
                  <c:v>100 +</c:v>
                </c:pt>
              </c:strCache>
            </c:strRef>
          </c:cat>
          <c:val>
            <c:numRef>
              <c:f>PPdata!$D$23:$D$43</c:f>
              <c:numCache>
                <c:formatCode>General</c:formatCode>
                <c:ptCount val="21"/>
                <c:pt idx="0">
                  <c:v>914496</c:v>
                </c:pt>
                <c:pt idx="1">
                  <c:v>974686</c:v>
                </c:pt>
                <c:pt idx="2">
                  <c:v>937153</c:v>
                </c:pt>
                <c:pt idx="3">
                  <c:v>854662</c:v>
                </c:pt>
                <c:pt idx="4">
                  <c:v>584014</c:v>
                </c:pt>
                <c:pt idx="5">
                  <c:v>449632</c:v>
                </c:pt>
                <c:pt idx="6">
                  <c:v>443492</c:v>
                </c:pt>
                <c:pt idx="7">
                  <c:v>388501</c:v>
                </c:pt>
                <c:pt idx="8">
                  <c:v>339713</c:v>
                </c:pt>
                <c:pt idx="9">
                  <c:v>278713</c:v>
                </c:pt>
                <c:pt idx="10">
                  <c:v>213902</c:v>
                </c:pt>
                <c:pt idx="11">
                  <c:v>186467</c:v>
                </c:pt>
                <c:pt idx="12">
                  <c:v>142937</c:v>
                </c:pt>
                <c:pt idx="13">
                  <c:v>101266</c:v>
                </c:pt>
                <c:pt idx="14">
                  <c:v>66959</c:v>
                </c:pt>
                <c:pt idx="15">
                  <c:v>37583</c:v>
                </c:pt>
                <c:pt idx="16">
                  <c:v>28921</c:v>
                </c:pt>
              </c:numCache>
            </c:numRef>
          </c:val>
          <c:extLst>
            <c:ext xmlns:c16="http://schemas.microsoft.com/office/drawing/2014/chart" uri="{C3380CC4-5D6E-409C-BE32-E72D297353CC}">
              <c16:uniqueId val="{00000001-86D1-4600-AAA3-1F356AC5AF38}"/>
            </c:ext>
          </c:extLst>
        </c:ser>
        <c:dLbls>
          <c:showLegendKey val="0"/>
          <c:showVal val="0"/>
          <c:showCatName val="0"/>
          <c:showSerName val="0"/>
          <c:showPercent val="0"/>
          <c:showBubbleSize val="0"/>
        </c:dLbls>
        <c:gapWidth val="0"/>
        <c:overlap val="100"/>
        <c:axId val="708656112"/>
        <c:axId val="708654192"/>
      </c:barChart>
      <c:catAx>
        <c:axId val="708656112"/>
        <c:scaling>
          <c:orientation val="minMax"/>
        </c:scaling>
        <c:delete val="0"/>
        <c:axPos val="l"/>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08654192"/>
        <c:crosses val="autoZero"/>
        <c:auto val="1"/>
        <c:lblAlgn val="ctr"/>
        <c:lblOffset val="100"/>
        <c:noMultiLvlLbl val="0"/>
      </c:catAx>
      <c:valAx>
        <c:axId val="708654192"/>
        <c:scaling>
          <c:orientation val="minMax"/>
          <c:max val="1000000"/>
          <c:min val="-100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sz="1600"/>
                  <a:t>Number of persons</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08656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clustered"/>
        <c:varyColors val="0"/>
        <c:ser>
          <c:idx val="0"/>
          <c:order val="0"/>
          <c:tx>
            <c:v>Males</c:v>
          </c:tx>
          <c:spPr>
            <a:solidFill>
              <a:schemeClr val="tx2">
                <a:lumMod val="50000"/>
                <a:lumOff val="50000"/>
              </a:schemeClr>
            </a:solidFill>
            <a:ln>
              <a:noFill/>
            </a:ln>
            <a:effectLst/>
          </c:spPr>
          <c:invertIfNegative val="0"/>
          <c:cat>
            <c:strRef>
              <c:f>PPdata!$A$2:$A$22</c:f>
              <c:strCache>
                <c:ptCount val="21"/>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80-84</c:v>
                </c:pt>
                <c:pt idx="17">
                  <c:v>85-89</c:v>
                </c:pt>
                <c:pt idx="18">
                  <c:v>90-94</c:v>
                </c:pt>
                <c:pt idx="19">
                  <c:v>95-99</c:v>
                </c:pt>
                <c:pt idx="20">
                  <c:v>100 +</c:v>
                </c:pt>
              </c:strCache>
            </c:strRef>
          </c:cat>
          <c:val>
            <c:numRef>
              <c:f>PPdata!$E$2:$E$22</c:f>
              <c:numCache>
                <c:formatCode>General</c:formatCode>
                <c:ptCount val="21"/>
                <c:pt idx="0">
                  <c:v>-511559</c:v>
                </c:pt>
                <c:pt idx="1">
                  <c:v>-558811</c:v>
                </c:pt>
                <c:pt idx="2">
                  <c:v>-709152</c:v>
                </c:pt>
                <c:pt idx="3">
                  <c:v>-839044</c:v>
                </c:pt>
                <c:pt idx="4">
                  <c:v>-840354</c:v>
                </c:pt>
                <c:pt idx="5">
                  <c:v>-857626</c:v>
                </c:pt>
                <c:pt idx="6">
                  <c:v>-1015792</c:v>
                </c:pt>
                <c:pt idx="7">
                  <c:v>-928490</c:v>
                </c:pt>
                <c:pt idx="8">
                  <c:v>-912991</c:v>
                </c:pt>
                <c:pt idx="9">
                  <c:v>-935207</c:v>
                </c:pt>
                <c:pt idx="10">
                  <c:v>-912094</c:v>
                </c:pt>
                <c:pt idx="11">
                  <c:v>-803377</c:v>
                </c:pt>
                <c:pt idx="12">
                  <c:v>-624453</c:v>
                </c:pt>
                <c:pt idx="13">
                  <c:v>-356836</c:v>
                </c:pt>
                <c:pt idx="14">
                  <c:v>-315219</c:v>
                </c:pt>
                <c:pt idx="15">
                  <c:v>-229340</c:v>
                </c:pt>
                <c:pt idx="16">
                  <c:v>-187308</c:v>
                </c:pt>
                <c:pt idx="17">
                  <c:v>-98577</c:v>
                </c:pt>
                <c:pt idx="18">
                  <c:v>-30022</c:v>
                </c:pt>
                <c:pt idx="19">
                  <c:v>-5752</c:v>
                </c:pt>
                <c:pt idx="20">
                  <c:v>-1315</c:v>
                </c:pt>
              </c:numCache>
            </c:numRef>
          </c:val>
          <c:extLst>
            <c:ext xmlns:c16="http://schemas.microsoft.com/office/drawing/2014/chart" uri="{C3380CC4-5D6E-409C-BE32-E72D297353CC}">
              <c16:uniqueId val="{00000000-CC12-40BA-BB07-1FF0B6A3EADB}"/>
            </c:ext>
          </c:extLst>
        </c:ser>
        <c:ser>
          <c:idx val="1"/>
          <c:order val="1"/>
          <c:tx>
            <c:v>Females</c:v>
          </c:tx>
          <c:spPr>
            <a:solidFill>
              <a:srgbClr val="C00000"/>
            </a:solidFill>
            <a:ln>
              <a:noFill/>
            </a:ln>
            <a:effectLst/>
          </c:spPr>
          <c:invertIfNegative val="0"/>
          <c:cat>
            <c:strRef>
              <c:f>PPdata!$A$2:$A$22</c:f>
              <c:strCache>
                <c:ptCount val="21"/>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80-84</c:v>
                </c:pt>
                <c:pt idx="17">
                  <c:v>85-89</c:v>
                </c:pt>
                <c:pt idx="18">
                  <c:v>90-94</c:v>
                </c:pt>
                <c:pt idx="19">
                  <c:v>95-99</c:v>
                </c:pt>
                <c:pt idx="20">
                  <c:v>100 +</c:v>
                </c:pt>
              </c:strCache>
            </c:strRef>
          </c:cat>
          <c:val>
            <c:numRef>
              <c:f>PPdata!$E$23:$E$43</c:f>
              <c:numCache>
                <c:formatCode>General</c:formatCode>
                <c:ptCount val="21"/>
                <c:pt idx="0">
                  <c:v>472124</c:v>
                </c:pt>
                <c:pt idx="1">
                  <c:v>509463</c:v>
                </c:pt>
                <c:pt idx="2">
                  <c:v>650568</c:v>
                </c:pt>
                <c:pt idx="3">
                  <c:v>776481</c:v>
                </c:pt>
                <c:pt idx="4">
                  <c:v>775225</c:v>
                </c:pt>
                <c:pt idx="5">
                  <c:v>830809</c:v>
                </c:pt>
                <c:pt idx="6">
                  <c:v>1023196</c:v>
                </c:pt>
                <c:pt idx="7">
                  <c:v>945898</c:v>
                </c:pt>
                <c:pt idx="8">
                  <c:v>924215</c:v>
                </c:pt>
                <c:pt idx="9">
                  <c:v>939746</c:v>
                </c:pt>
                <c:pt idx="10">
                  <c:v>926068</c:v>
                </c:pt>
                <c:pt idx="11">
                  <c:v>833060</c:v>
                </c:pt>
                <c:pt idx="12">
                  <c:v>659867</c:v>
                </c:pt>
                <c:pt idx="13">
                  <c:v>390644</c:v>
                </c:pt>
                <c:pt idx="14">
                  <c:v>367737</c:v>
                </c:pt>
                <c:pt idx="15">
                  <c:v>280443</c:v>
                </c:pt>
                <c:pt idx="16">
                  <c:v>191268</c:v>
                </c:pt>
                <c:pt idx="17">
                  <c:v>100306</c:v>
                </c:pt>
                <c:pt idx="18">
                  <c:v>36268</c:v>
                </c:pt>
                <c:pt idx="19">
                  <c:v>7833</c:v>
                </c:pt>
                <c:pt idx="20">
                  <c:v>1284</c:v>
                </c:pt>
              </c:numCache>
            </c:numRef>
          </c:val>
          <c:extLst>
            <c:ext xmlns:c16="http://schemas.microsoft.com/office/drawing/2014/chart" uri="{C3380CC4-5D6E-409C-BE32-E72D297353CC}">
              <c16:uniqueId val="{00000001-CC12-40BA-BB07-1FF0B6A3EADB}"/>
            </c:ext>
          </c:extLst>
        </c:ser>
        <c:dLbls>
          <c:showLegendKey val="0"/>
          <c:showVal val="0"/>
          <c:showCatName val="0"/>
          <c:showSerName val="0"/>
          <c:showPercent val="0"/>
          <c:showBubbleSize val="0"/>
        </c:dLbls>
        <c:gapWidth val="0"/>
        <c:overlap val="100"/>
        <c:axId val="708656112"/>
        <c:axId val="708654192"/>
      </c:barChart>
      <c:catAx>
        <c:axId val="708656112"/>
        <c:scaling>
          <c:orientation val="minMax"/>
        </c:scaling>
        <c:delete val="0"/>
        <c:axPos val="l"/>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08654192"/>
        <c:crosses val="autoZero"/>
        <c:auto val="1"/>
        <c:lblAlgn val="ctr"/>
        <c:lblOffset val="100"/>
        <c:noMultiLvlLbl val="0"/>
      </c:catAx>
      <c:valAx>
        <c:axId val="708654192"/>
        <c:scaling>
          <c:orientation val="minMax"/>
          <c:max val="1000000"/>
          <c:min val="-100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sz="1600"/>
                  <a:t>Number of persons</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08656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clustered"/>
        <c:varyColors val="0"/>
        <c:ser>
          <c:idx val="0"/>
          <c:order val="0"/>
          <c:tx>
            <c:v>Males</c:v>
          </c:tx>
          <c:spPr>
            <a:solidFill>
              <a:schemeClr val="tx2">
                <a:lumMod val="50000"/>
                <a:lumOff val="50000"/>
              </a:schemeClr>
            </a:solidFill>
            <a:ln>
              <a:noFill/>
            </a:ln>
            <a:effectLst/>
          </c:spPr>
          <c:invertIfNegative val="0"/>
          <c:cat>
            <c:strRef>
              <c:f>PPdata!$A$2:$A$22</c:f>
              <c:strCache>
                <c:ptCount val="21"/>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80-84</c:v>
                </c:pt>
                <c:pt idx="17">
                  <c:v>85-89</c:v>
                </c:pt>
                <c:pt idx="18">
                  <c:v>90-94</c:v>
                </c:pt>
                <c:pt idx="19">
                  <c:v>95-99</c:v>
                </c:pt>
                <c:pt idx="20">
                  <c:v>100 +</c:v>
                </c:pt>
              </c:strCache>
            </c:strRef>
          </c:cat>
          <c:val>
            <c:numRef>
              <c:f>PPdata!$F$2:$F$22</c:f>
              <c:numCache>
                <c:formatCode>General</c:formatCode>
                <c:ptCount val="21"/>
                <c:pt idx="0">
                  <c:v>-227354</c:v>
                </c:pt>
                <c:pt idx="1">
                  <c:v>-259980</c:v>
                </c:pt>
                <c:pt idx="2">
                  <c:v>-274872</c:v>
                </c:pt>
                <c:pt idx="3">
                  <c:v>-292275</c:v>
                </c:pt>
                <c:pt idx="4">
                  <c:v>-309665</c:v>
                </c:pt>
                <c:pt idx="5">
                  <c:v>-338877</c:v>
                </c:pt>
                <c:pt idx="6">
                  <c:v>-388969</c:v>
                </c:pt>
                <c:pt idx="7">
                  <c:v>-511831</c:v>
                </c:pt>
                <c:pt idx="8">
                  <c:v>-522705</c:v>
                </c:pt>
                <c:pt idx="9">
                  <c:v>-517339</c:v>
                </c:pt>
                <c:pt idx="10">
                  <c:v>-625719</c:v>
                </c:pt>
                <c:pt idx="11">
                  <c:v>-731424</c:v>
                </c:pt>
                <c:pt idx="12">
                  <c:v>-749510</c:v>
                </c:pt>
                <c:pt idx="13">
                  <c:v>-690413</c:v>
                </c:pt>
                <c:pt idx="14">
                  <c:v>-758681</c:v>
                </c:pt>
                <c:pt idx="15">
                  <c:v>-664731</c:v>
                </c:pt>
                <c:pt idx="16">
                  <c:v>-479413</c:v>
                </c:pt>
                <c:pt idx="17">
                  <c:v>-345867</c:v>
                </c:pt>
                <c:pt idx="18">
                  <c:v>-193949</c:v>
                </c:pt>
                <c:pt idx="19">
                  <c:v>-66773</c:v>
                </c:pt>
                <c:pt idx="20">
                  <c:v>-11775</c:v>
                </c:pt>
              </c:numCache>
            </c:numRef>
          </c:val>
          <c:extLst>
            <c:ext xmlns:c16="http://schemas.microsoft.com/office/drawing/2014/chart" uri="{C3380CC4-5D6E-409C-BE32-E72D297353CC}">
              <c16:uniqueId val="{00000000-52E5-4F1C-89A3-C4E8E6D6FDE7}"/>
            </c:ext>
          </c:extLst>
        </c:ser>
        <c:ser>
          <c:idx val="1"/>
          <c:order val="1"/>
          <c:tx>
            <c:v>Females</c:v>
          </c:tx>
          <c:spPr>
            <a:solidFill>
              <a:srgbClr val="C00000"/>
            </a:solidFill>
            <a:ln>
              <a:noFill/>
            </a:ln>
            <a:effectLst/>
          </c:spPr>
          <c:invertIfNegative val="0"/>
          <c:cat>
            <c:strRef>
              <c:f>PPdata!$A$2:$A$22</c:f>
              <c:strCache>
                <c:ptCount val="21"/>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80-84</c:v>
                </c:pt>
                <c:pt idx="17">
                  <c:v>85-89</c:v>
                </c:pt>
                <c:pt idx="18">
                  <c:v>90-94</c:v>
                </c:pt>
                <c:pt idx="19">
                  <c:v>95-99</c:v>
                </c:pt>
                <c:pt idx="20">
                  <c:v>100 +</c:v>
                </c:pt>
              </c:strCache>
            </c:strRef>
          </c:cat>
          <c:val>
            <c:numRef>
              <c:f>PPdata!$F$23:$F$43</c:f>
              <c:numCache>
                <c:formatCode>General</c:formatCode>
                <c:ptCount val="21"/>
                <c:pt idx="0">
                  <c:v>202679</c:v>
                </c:pt>
                <c:pt idx="1">
                  <c:v>230896</c:v>
                </c:pt>
                <c:pt idx="2">
                  <c:v>245519</c:v>
                </c:pt>
                <c:pt idx="3">
                  <c:v>263398</c:v>
                </c:pt>
                <c:pt idx="4">
                  <c:v>283680</c:v>
                </c:pt>
                <c:pt idx="5">
                  <c:v>315864</c:v>
                </c:pt>
                <c:pt idx="6">
                  <c:v>372354</c:v>
                </c:pt>
                <c:pt idx="7">
                  <c:v>494761</c:v>
                </c:pt>
                <c:pt idx="8">
                  <c:v>509814</c:v>
                </c:pt>
                <c:pt idx="9">
                  <c:v>503231</c:v>
                </c:pt>
                <c:pt idx="10">
                  <c:v>610038</c:v>
                </c:pt>
                <c:pt idx="11">
                  <c:v>727556</c:v>
                </c:pt>
                <c:pt idx="12">
                  <c:v>759984</c:v>
                </c:pt>
                <c:pt idx="13">
                  <c:v>749597</c:v>
                </c:pt>
                <c:pt idx="14">
                  <c:v>905707</c:v>
                </c:pt>
                <c:pt idx="15">
                  <c:v>856432</c:v>
                </c:pt>
                <c:pt idx="16">
                  <c:v>684894</c:v>
                </c:pt>
                <c:pt idx="17">
                  <c:v>554961</c:v>
                </c:pt>
                <c:pt idx="18">
                  <c:v>370655</c:v>
                </c:pt>
                <c:pt idx="19">
                  <c:v>160897</c:v>
                </c:pt>
                <c:pt idx="20">
                  <c:v>37300</c:v>
                </c:pt>
              </c:numCache>
            </c:numRef>
          </c:val>
          <c:extLst>
            <c:ext xmlns:c16="http://schemas.microsoft.com/office/drawing/2014/chart" uri="{C3380CC4-5D6E-409C-BE32-E72D297353CC}">
              <c16:uniqueId val="{00000001-52E5-4F1C-89A3-C4E8E6D6FDE7}"/>
            </c:ext>
          </c:extLst>
        </c:ser>
        <c:dLbls>
          <c:showLegendKey val="0"/>
          <c:showVal val="0"/>
          <c:showCatName val="0"/>
          <c:showSerName val="0"/>
          <c:showPercent val="0"/>
          <c:showBubbleSize val="0"/>
        </c:dLbls>
        <c:gapWidth val="0"/>
        <c:overlap val="100"/>
        <c:axId val="708656112"/>
        <c:axId val="708654192"/>
      </c:barChart>
      <c:catAx>
        <c:axId val="708656112"/>
        <c:scaling>
          <c:orientation val="minMax"/>
        </c:scaling>
        <c:delete val="0"/>
        <c:axPos val="l"/>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08654192"/>
        <c:crosses val="autoZero"/>
        <c:auto val="1"/>
        <c:lblAlgn val="ctr"/>
        <c:lblOffset val="100"/>
        <c:noMultiLvlLbl val="0"/>
      </c:catAx>
      <c:valAx>
        <c:axId val="708654192"/>
        <c:scaling>
          <c:orientation val="minMax"/>
          <c:max val="1000000"/>
          <c:min val="-100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sz="1600"/>
                  <a:t>Number of persons</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08656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clustered"/>
        <c:varyColors val="0"/>
        <c:ser>
          <c:idx val="0"/>
          <c:order val="0"/>
          <c:tx>
            <c:v>Males</c:v>
          </c:tx>
          <c:spPr>
            <a:solidFill>
              <a:schemeClr val="bg2">
                <a:lumMod val="90000"/>
              </a:schemeClr>
            </a:solidFill>
            <a:ln>
              <a:noFill/>
            </a:ln>
            <a:effectLst/>
          </c:spPr>
          <c:invertIfNegative val="0"/>
          <c:cat>
            <c:strRef>
              <c:f>PPdata!$A$2:$A$22</c:f>
              <c:strCache>
                <c:ptCount val="21"/>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80-84</c:v>
                </c:pt>
                <c:pt idx="17">
                  <c:v>85-89</c:v>
                </c:pt>
                <c:pt idx="18">
                  <c:v>90-94</c:v>
                </c:pt>
                <c:pt idx="19">
                  <c:v>95-99</c:v>
                </c:pt>
                <c:pt idx="20">
                  <c:v>100 +</c:v>
                </c:pt>
              </c:strCache>
            </c:strRef>
          </c:cat>
          <c:val>
            <c:numRef>
              <c:f>PPdata!$D$2:$D$22</c:f>
              <c:numCache>
                <c:formatCode>General</c:formatCode>
                <c:ptCount val="21"/>
                <c:pt idx="0">
                  <c:v>-974034</c:v>
                </c:pt>
                <c:pt idx="1">
                  <c:v>-1032745</c:v>
                </c:pt>
                <c:pt idx="2">
                  <c:v>-988025</c:v>
                </c:pt>
                <c:pt idx="3">
                  <c:v>-899138</c:v>
                </c:pt>
                <c:pt idx="4">
                  <c:v>-613923</c:v>
                </c:pt>
                <c:pt idx="5">
                  <c:v>-476385</c:v>
                </c:pt>
                <c:pt idx="6">
                  <c:v>-464656</c:v>
                </c:pt>
                <c:pt idx="7">
                  <c:v>-457330</c:v>
                </c:pt>
                <c:pt idx="8">
                  <c:v>-510649</c:v>
                </c:pt>
                <c:pt idx="9">
                  <c:v>-419615</c:v>
                </c:pt>
                <c:pt idx="10">
                  <c:v>-300538</c:v>
                </c:pt>
                <c:pt idx="11">
                  <c:v>-244831</c:v>
                </c:pt>
                <c:pt idx="12">
                  <c:v>-157392</c:v>
                </c:pt>
                <c:pt idx="13">
                  <c:v>-99126</c:v>
                </c:pt>
                <c:pt idx="14">
                  <c:v>-55176</c:v>
                </c:pt>
                <c:pt idx="15">
                  <c:v>-25421</c:v>
                </c:pt>
                <c:pt idx="16">
                  <c:v>-13883</c:v>
                </c:pt>
              </c:numCache>
            </c:numRef>
          </c:val>
          <c:extLst>
            <c:ext xmlns:c16="http://schemas.microsoft.com/office/drawing/2014/chart" uri="{C3380CC4-5D6E-409C-BE32-E72D297353CC}">
              <c16:uniqueId val="{00000000-3762-47CB-9F64-E8A366665D66}"/>
            </c:ext>
          </c:extLst>
        </c:ser>
        <c:ser>
          <c:idx val="1"/>
          <c:order val="1"/>
          <c:tx>
            <c:v>Females</c:v>
          </c:tx>
          <c:spPr>
            <a:solidFill>
              <a:schemeClr val="bg2">
                <a:lumMod val="90000"/>
              </a:schemeClr>
            </a:solidFill>
            <a:ln>
              <a:noFill/>
            </a:ln>
            <a:effectLst/>
          </c:spPr>
          <c:invertIfNegative val="0"/>
          <c:cat>
            <c:strRef>
              <c:f>PPdata!$A$2:$A$22</c:f>
              <c:strCache>
                <c:ptCount val="21"/>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80-84</c:v>
                </c:pt>
                <c:pt idx="17">
                  <c:v>85-89</c:v>
                </c:pt>
                <c:pt idx="18">
                  <c:v>90-94</c:v>
                </c:pt>
                <c:pt idx="19">
                  <c:v>95-99</c:v>
                </c:pt>
                <c:pt idx="20">
                  <c:v>100 +</c:v>
                </c:pt>
              </c:strCache>
            </c:strRef>
          </c:cat>
          <c:val>
            <c:numRef>
              <c:f>PPdata!$D$23:$D$43</c:f>
              <c:numCache>
                <c:formatCode>General</c:formatCode>
                <c:ptCount val="21"/>
                <c:pt idx="0">
                  <c:v>914496</c:v>
                </c:pt>
                <c:pt idx="1">
                  <c:v>974686</c:v>
                </c:pt>
                <c:pt idx="2">
                  <c:v>937153</c:v>
                </c:pt>
                <c:pt idx="3">
                  <c:v>854662</c:v>
                </c:pt>
                <c:pt idx="4">
                  <c:v>584014</c:v>
                </c:pt>
                <c:pt idx="5">
                  <c:v>449632</c:v>
                </c:pt>
                <c:pt idx="6">
                  <c:v>443492</c:v>
                </c:pt>
                <c:pt idx="7">
                  <c:v>388501</c:v>
                </c:pt>
                <c:pt idx="8">
                  <c:v>339713</c:v>
                </c:pt>
                <c:pt idx="9">
                  <c:v>278713</c:v>
                </c:pt>
                <c:pt idx="10">
                  <c:v>213902</c:v>
                </c:pt>
                <c:pt idx="11">
                  <c:v>186467</c:v>
                </c:pt>
                <c:pt idx="12">
                  <c:v>142937</c:v>
                </c:pt>
                <c:pt idx="13">
                  <c:v>101266</c:v>
                </c:pt>
                <c:pt idx="14">
                  <c:v>66959</c:v>
                </c:pt>
                <c:pt idx="15">
                  <c:v>37583</c:v>
                </c:pt>
                <c:pt idx="16">
                  <c:v>28921</c:v>
                </c:pt>
              </c:numCache>
            </c:numRef>
          </c:val>
          <c:extLst>
            <c:ext xmlns:c16="http://schemas.microsoft.com/office/drawing/2014/chart" uri="{C3380CC4-5D6E-409C-BE32-E72D297353CC}">
              <c16:uniqueId val="{00000001-3762-47CB-9F64-E8A366665D66}"/>
            </c:ext>
          </c:extLst>
        </c:ser>
        <c:dLbls>
          <c:showLegendKey val="0"/>
          <c:showVal val="0"/>
          <c:showCatName val="0"/>
          <c:showSerName val="0"/>
          <c:showPercent val="0"/>
          <c:showBubbleSize val="0"/>
        </c:dLbls>
        <c:gapWidth val="0"/>
        <c:overlap val="100"/>
        <c:axId val="708656112"/>
        <c:axId val="708654192"/>
      </c:barChart>
      <c:catAx>
        <c:axId val="708656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654192"/>
        <c:crosses val="autoZero"/>
        <c:auto val="1"/>
        <c:lblAlgn val="ctr"/>
        <c:lblOffset val="100"/>
        <c:noMultiLvlLbl val="0"/>
      </c:catAx>
      <c:valAx>
        <c:axId val="7086541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persons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656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5.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3041B23-11D9-4548-9C1A-9AF4C44E875E}">
  <sheetPr/>
  <sheetViews>
    <sheetView zoomScale="81"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3ACBEFA-7B1C-413F-BA01-60FB5E0575DA}">
  <sheetPr/>
  <sheetViews>
    <sheetView zoomScale="81"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2B9F077-FF65-440F-A765-1A860A5F9667}">
  <sheetPr/>
  <sheetViews>
    <sheetView zoomScale="81"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absoluteAnchor>
    <xdr:pos x="0" y="0"/>
    <xdr:ext cx="8654815" cy="6274741"/>
    <xdr:graphicFrame macro="">
      <xdr:nvGraphicFramePr>
        <xdr:cNvPr id="2" name="Chart 1">
          <a:extLst>
            <a:ext uri="{FF2B5EF4-FFF2-40B4-BE49-F238E27FC236}">
              <a16:creationId xmlns:a16="http://schemas.microsoft.com/office/drawing/2014/main" id="{18E61FBE-423D-0298-3E1E-848CFB2D279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0.21448</cdr:x>
      <cdr:y>0.15804</cdr:y>
    </cdr:from>
    <cdr:to>
      <cdr:x>0.32</cdr:x>
      <cdr:y>0.30339</cdr:y>
    </cdr:to>
    <cdr:sp macro="" textlink="">
      <cdr:nvSpPr>
        <cdr:cNvPr id="2" name="TextBox 1">
          <a:extLst xmlns:a="http://schemas.openxmlformats.org/drawingml/2006/main">
            <a:ext uri="{FF2B5EF4-FFF2-40B4-BE49-F238E27FC236}">
              <a16:creationId xmlns:a16="http://schemas.microsoft.com/office/drawing/2014/main" id="{AC139DAE-1A81-73D5-9967-FA14B3FDA52D}"/>
            </a:ext>
          </a:extLst>
        </cdr:cNvPr>
        <cdr:cNvSpPr txBox="1"/>
      </cdr:nvSpPr>
      <cdr:spPr>
        <a:xfrm xmlns:a="http://schemas.openxmlformats.org/drawingml/2006/main">
          <a:off x="1858537" y="994317"/>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2400" kern="1200"/>
            <a:t>Males</a:t>
          </a:r>
        </a:p>
      </cdr:txBody>
    </cdr:sp>
  </cdr:relSizeAnchor>
  <cdr:relSizeAnchor xmlns:cdr="http://schemas.openxmlformats.org/drawingml/2006/chartDrawing">
    <cdr:from>
      <cdr:x>0.67719</cdr:x>
      <cdr:y>0.16169</cdr:y>
    </cdr:from>
    <cdr:to>
      <cdr:x>0.78271</cdr:x>
      <cdr:y>0.30703</cdr:y>
    </cdr:to>
    <cdr:sp macro="" textlink="">
      <cdr:nvSpPr>
        <cdr:cNvPr id="3" name="TextBox 1">
          <a:extLst xmlns:a="http://schemas.openxmlformats.org/drawingml/2006/main">
            <a:ext uri="{FF2B5EF4-FFF2-40B4-BE49-F238E27FC236}">
              <a16:creationId xmlns:a16="http://schemas.microsoft.com/office/drawing/2014/main" id="{6F2064C6-651A-D65F-B98B-283216A82A88}"/>
            </a:ext>
          </a:extLst>
        </cdr:cNvPr>
        <cdr:cNvSpPr txBox="1"/>
      </cdr:nvSpPr>
      <cdr:spPr>
        <a:xfrm xmlns:a="http://schemas.openxmlformats.org/drawingml/2006/main">
          <a:off x="5868020" y="1017239"/>
          <a:ext cx="914400" cy="91440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2400" kern="1200"/>
            <a:t>Females</a:t>
          </a:r>
        </a:p>
      </cdr:txBody>
    </cdr:sp>
  </cdr:relSizeAnchor>
  <cdr:relSizeAnchor xmlns:cdr="http://schemas.openxmlformats.org/drawingml/2006/chartDrawing">
    <cdr:from>
      <cdr:x>0</cdr:x>
      <cdr:y>0.00512</cdr:y>
    </cdr:from>
    <cdr:to>
      <cdr:x>0.10552</cdr:x>
      <cdr:y>0.15046</cdr:y>
    </cdr:to>
    <cdr:sp macro="" textlink="">
      <cdr:nvSpPr>
        <cdr:cNvPr id="4" name="TextBox 1">
          <a:extLst xmlns:a="http://schemas.openxmlformats.org/drawingml/2006/main">
            <a:ext uri="{FF2B5EF4-FFF2-40B4-BE49-F238E27FC236}">
              <a16:creationId xmlns:a16="http://schemas.microsoft.com/office/drawing/2014/main" id="{DFFDFCA8-8046-745E-8434-02664857FA3F}"/>
            </a:ext>
          </a:extLst>
        </cdr:cNvPr>
        <cdr:cNvSpPr txBox="1"/>
      </cdr:nvSpPr>
      <cdr:spPr>
        <a:xfrm xmlns:a="http://schemas.openxmlformats.org/drawingml/2006/main">
          <a:off x="0" y="32215"/>
          <a:ext cx="914400" cy="91440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3600" kern="1200"/>
            <a:t>1970</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8654815" cy="6274741"/>
    <xdr:graphicFrame macro="">
      <xdr:nvGraphicFramePr>
        <xdr:cNvPr id="2" name="Chart 1">
          <a:extLst>
            <a:ext uri="{FF2B5EF4-FFF2-40B4-BE49-F238E27FC236}">
              <a16:creationId xmlns:a16="http://schemas.microsoft.com/office/drawing/2014/main" id="{FF9575D2-742F-BEDF-1F33-9B4DD4298E2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0.21448</cdr:x>
      <cdr:y>0.15804</cdr:y>
    </cdr:from>
    <cdr:to>
      <cdr:x>0.32</cdr:x>
      <cdr:y>0.30339</cdr:y>
    </cdr:to>
    <cdr:sp macro="" textlink="">
      <cdr:nvSpPr>
        <cdr:cNvPr id="2" name="TextBox 1">
          <a:extLst xmlns:a="http://schemas.openxmlformats.org/drawingml/2006/main">
            <a:ext uri="{FF2B5EF4-FFF2-40B4-BE49-F238E27FC236}">
              <a16:creationId xmlns:a16="http://schemas.microsoft.com/office/drawing/2014/main" id="{AC139DAE-1A81-73D5-9967-FA14B3FDA52D}"/>
            </a:ext>
          </a:extLst>
        </cdr:cNvPr>
        <cdr:cNvSpPr txBox="1"/>
      </cdr:nvSpPr>
      <cdr:spPr>
        <a:xfrm xmlns:a="http://schemas.openxmlformats.org/drawingml/2006/main">
          <a:off x="1858537" y="994317"/>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2400" kern="1200"/>
            <a:t>Males</a:t>
          </a:r>
        </a:p>
      </cdr:txBody>
    </cdr:sp>
  </cdr:relSizeAnchor>
  <cdr:relSizeAnchor xmlns:cdr="http://schemas.openxmlformats.org/drawingml/2006/chartDrawing">
    <cdr:from>
      <cdr:x>0.67719</cdr:x>
      <cdr:y>0.16169</cdr:y>
    </cdr:from>
    <cdr:to>
      <cdr:x>0.78271</cdr:x>
      <cdr:y>0.30703</cdr:y>
    </cdr:to>
    <cdr:sp macro="" textlink="">
      <cdr:nvSpPr>
        <cdr:cNvPr id="3" name="TextBox 1">
          <a:extLst xmlns:a="http://schemas.openxmlformats.org/drawingml/2006/main">
            <a:ext uri="{FF2B5EF4-FFF2-40B4-BE49-F238E27FC236}">
              <a16:creationId xmlns:a16="http://schemas.microsoft.com/office/drawing/2014/main" id="{6F2064C6-651A-D65F-B98B-283216A82A88}"/>
            </a:ext>
          </a:extLst>
        </cdr:cNvPr>
        <cdr:cNvSpPr txBox="1"/>
      </cdr:nvSpPr>
      <cdr:spPr>
        <a:xfrm xmlns:a="http://schemas.openxmlformats.org/drawingml/2006/main">
          <a:off x="5868020" y="1017239"/>
          <a:ext cx="914400" cy="91440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2400" kern="1200"/>
            <a:t>Females</a:t>
          </a:r>
        </a:p>
      </cdr:txBody>
    </cdr:sp>
  </cdr:relSizeAnchor>
  <cdr:relSizeAnchor xmlns:cdr="http://schemas.openxmlformats.org/drawingml/2006/chartDrawing">
    <cdr:from>
      <cdr:x>0.00586</cdr:x>
      <cdr:y>0.00807</cdr:y>
    </cdr:from>
    <cdr:to>
      <cdr:x>0.11139</cdr:x>
      <cdr:y>0.15342</cdr:y>
    </cdr:to>
    <cdr:sp macro="" textlink="">
      <cdr:nvSpPr>
        <cdr:cNvPr id="4" name="TextBox 1">
          <a:extLst xmlns:a="http://schemas.openxmlformats.org/drawingml/2006/main">
            <a:ext uri="{FF2B5EF4-FFF2-40B4-BE49-F238E27FC236}">
              <a16:creationId xmlns:a16="http://schemas.microsoft.com/office/drawing/2014/main" id="{E0EF1EF9-5116-5A10-D94E-614DE9A96683}"/>
            </a:ext>
          </a:extLst>
        </cdr:cNvPr>
        <cdr:cNvSpPr txBox="1"/>
      </cdr:nvSpPr>
      <cdr:spPr>
        <a:xfrm xmlns:a="http://schemas.openxmlformats.org/drawingml/2006/main">
          <a:off x="50800" y="50800"/>
          <a:ext cx="914400" cy="91440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3600" kern="1200"/>
            <a:t>2012</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8654815" cy="6274741"/>
    <xdr:graphicFrame macro="">
      <xdr:nvGraphicFramePr>
        <xdr:cNvPr id="2" name="Chart 1">
          <a:extLst>
            <a:ext uri="{FF2B5EF4-FFF2-40B4-BE49-F238E27FC236}">
              <a16:creationId xmlns:a16="http://schemas.microsoft.com/office/drawing/2014/main" id="{EA04BC7F-E067-22F6-65AE-205E6C31996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0.2235</cdr:x>
      <cdr:y>0.06643</cdr:y>
    </cdr:from>
    <cdr:to>
      <cdr:x>0.32902</cdr:x>
      <cdr:y>0.21178</cdr:y>
    </cdr:to>
    <cdr:sp macro="" textlink="">
      <cdr:nvSpPr>
        <cdr:cNvPr id="2" name="TextBox 1">
          <a:extLst xmlns:a="http://schemas.openxmlformats.org/drawingml/2006/main">
            <a:ext uri="{FF2B5EF4-FFF2-40B4-BE49-F238E27FC236}">
              <a16:creationId xmlns:a16="http://schemas.microsoft.com/office/drawing/2014/main" id="{AC139DAE-1A81-73D5-9967-FA14B3FDA52D}"/>
            </a:ext>
          </a:extLst>
        </cdr:cNvPr>
        <cdr:cNvSpPr txBox="1"/>
      </cdr:nvSpPr>
      <cdr:spPr>
        <a:xfrm xmlns:a="http://schemas.openxmlformats.org/drawingml/2006/main">
          <a:off x="1936688" y="417906"/>
          <a:ext cx="914364" cy="91445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2400" kern="1200"/>
            <a:t>Males</a:t>
          </a:r>
        </a:p>
      </cdr:txBody>
    </cdr:sp>
  </cdr:relSizeAnchor>
  <cdr:relSizeAnchor xmlns:cdr="http://schemas.openxmlformats.org/drawingml/2006/chartDrawing">
    <cdr:from>
      <cdr:x>0.68057</cdr:x>
      <cdr:y>0.0561</cdr:y>
    </cdr:from>
    <cdr:to>
      <cdr:x>0.78609</cdr:x>
      <cdr:y>0.20144</cdr:y>
    </cdr:to>
    <cdr:sp macro="" textlink="">
      <cdr:nvSpPr>
        <cdr:cNvPr id="3" name="TextBox 1">
          <a:extLst xmlns:a="http://schemas.openxmlformats.org/drawingml/2006/main">
            <a:ext uri="{FF2B5EF4-FFF2-40B4-BE49-F238E27FC236}">
              <a16:creationId xmlns:a16="http://schemas.microsoft.com/office/drawing/2014/main" id="{6F2064C6-651A-D65F-B98B-283216A82A88}"/>
            </a:ext>
          </a:extLst>
        </cdr:cNvPr>
        <cdr:cNvSpPr txBox="1"/>
      </cdr:nvSpPr>
      <cdr:spPr>
        <a:xfrm xmlns:a="http://schemas.openxmlformats.org/drawingml/2006/main">
          <a:off x="5897367" y="352947"/>
          <a:ext cx="914363" cy="91439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2400" kern="1200"/>
            <a:t>Females</a:t>
          </a:r>
        </a:p>
      </cdr:txBody>
    </cdr:sp>
  </cdr:relSizeAnchor>
  <cdr:relSizeAnchor xmlns:cdr="http://schemas.openxmlformats.org/drawingml/2006/chartDrawing">
    <cdr:from>
      <cdr:x>0.00586</cdr:x>
      <cdr:y>0.00807</cdr:y>
    </cdr:from>
    <cdr:to>
      <cdr:x>0.11139</cdr:x>
      <cdr:y>0.15342</cdr:y>
    </cdr:to>
    <cdr:sp macro="" textlink="">
      <cdr:nvSpPr>
        <cdr:cNvPr id="4" name="TextBox 1">
          <a:extLst xmlns:a="http://schemas.openxmlformats.org/drawingml/2006/main">
            <a:ext uri="{FF2B5EF4-FFF2-40B4-BE49-F238E27FC236}">
              <a16:creationId xmlns:a16="http://schemas.microsoft.com/office/drawing/2014/main" id="{E0EF1EF9-5116-5A10-D94E-614DE9A96683}"/>
            </a:ext>
          </a:extLst>
        </cdr:cNvPr>
        <cdr:cNvSpPr txBox="1"/>
      </cdr:nvSpPr>
      <cdr:spPr>
        <a:xfrm xmlns:a="http://schemas.openxmlformats.org/drawingml/2006/main">
          <a:off x="50800" y="50800"/>
          <a:ext cx="914400" cy="91440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3600" kern="1200"/>
            <a:t>2054</a:t>
          </a:r>
        </a:p>
      </cdr:txBody>
    </cdr:sp>
  </cdr:relSizeAnchor>
</c:userShapes>
</file>

<file path=xl/drawings/drawing7.xml><?xml version="1.0" encoding="utf-8"?>
<xdr:wsDr xmlns:xdr="http://schemas.openxmlformats.org/drawingml/2006/spreadsheetDrawing" xmlns:a="http://schemas.openxmlformats.org/drawingml/2006/main">
  <xdr:twoCellAnchor>
    <xdr:from>
      <xdr:col>7</xdr:col>
      <xdr:colOff>0</xdr:colOff>
      <xdr:row>18</xdr:row>
      <xdr:rowOff>0</xdr:rowOff>
    </xdr:from>
    <xdr:to>
      <xdr:col>14</xdr:col>
      <xdr:colOff>304800</xdr:colOff>
      <xdr:row>33</xdr:row>
      <xdr:rowOff>0</xdr:rowOff>
    </xdr:to>
    <xdr:graphicFrame macro="">
      <xdr:nvGraphicFramePr>
        <xdr:cNvPr id="3" name="Chart 2">
          <a:extLst>
            <a:ext uri="{FF2B5EF4-FFF2-40B4-BE49-F238E27FC236}">
              <a16:creationId xmlns:a16="http://schemas.microsoft.com/office/drawing/2014/main" id="{280FCA58-FCC5-4FFE-8178-B4F9A465DC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944F1-9308-4540-90FE-C04DBFD0CAE5}">
  <dimension ref="A1:CZ60"/>
  <sheetViews>
    <sheetView tabSelected="1" workbookViewId="0">
      <selection activeCell="B6" sqref="B6"/>
    </sheetView>
  </sheetViews>
  <sheetFormatPr defaultRowHeight="14.4" x14ac:dyDescent="0.3"/>
  <cols>
    <col min="53" max="54" width="13.6640625" style="3" bestFit="1" customWidth="1"/>
    <col min="88" max="88" width="8.88671875" style="5"/>
  </cols>
  <sheetData>
    <row r="1" spans="1:104" x14ac:dyDescent="0.3">
      <c r="A1" t="s">
        <v>0</v>
      </c>
    </row>
    <row r="2" spans="1:104" x14ac:dyDescent="0.3">
      <c r="A2" t="s">
        <v>1</v>
      </c>
    </row>
    <row r="3" spans="1:104" x14ac:dyDescent="0.3">
      <c r="A3" t="s">
        <v>2</v>
      </c>
    </row>
    <row r="4" spans="1:104" x14ac:dyDescent="0.3">
      <c r="A4" t="s">
        <v>3</v>
      </c>
    </row>
    <row r="5" spans="1:104" x14ac:dyDescent="0.3">
      <c r="A5" t="s">
        <v>4</v>
      </c>
    </row>
    <row r="6" spans="1:104" x14ac:dyDescent="0.3">
      <c r="A6" t="s">
        <v>5</v>
      </c>
    </row>
    <row r="7" spans="1:104" x14ac:dyDescent="0.3">
      <c r="A7" t="s">
        <v>6</v>
      </c>
    </row>
    <row r="8" spans="1:104" x14ac:dyDescent="0.3">
      <c r="A8" t="s">
        <v>7</v>
      </c>
    </row>
    <row r="10" spans="1:104" x14ac:dyDescent="0.3">
      <c r="D10">
        <v>1970</v>
      </c>
      <c r="E10">
        <v>1971</v>
      </c>
      <c r="F10">
        <v>1972</v>
      </c>
      <c r="G10">
        <v>1973</v>
      </c>
      <c r="H10">
        <v>1974</v>
      </c>
      <c r="I10">
        <v>1975</v>
      </c>
      <c r="J10">
        <v>1976</v>
      </c>
      <c r="K10">
        <v>1977</v>
      </c>
      <c r="L10">
        <v>1978</v>
      </c>
      <c r="M10">
        <v>1979</v>
      </c>
      <c r="N10">
        <v>1980</v>
      </c>
      <c r="O10">
        <v>1981</v>
      </c>
      <c r="P10">
        <v>1982</v>
      </c>
      <c r="Q10">
        <v>1983</v>
      </c>
      <c r="R10">
        <v>1984</v>
      </c>
      <c r="S10">
        <v>1985</v>
      </c>
      <c r="T10">
        <v>1986</v>
      </c>
      <c r="U10">
        <v>1987</v>
      </c>
      <c r="V10">
        <v>1988</v>
      </c>
      <c r="W10">
        <v>1989</v>
      </c>
      <c r="X10">
        <v>1990</v>
      </c>
      <c r="Y10">
        <v>1991</v>
      </c>
      <c r="Z10">
        <v>1992</v>
      </c>
      <c r="AA10">
        <v>1993</v>
      </c>
      <c r="AB10">
        <v>1994</v>
      </c>
      <c r="AC10">
        <v>1995</v>
      </c>
      <c r="AD10">
        <v>1996</v>
      </c>
      <c r="AE10">
        <v>1997</v>
      </c>
      <c r="AF10">
        <v>1998</v>
      </c>
      <c r="AG10">
        <v>1999</v>
      </c>
      <c r="AH10">
        <v>2000</v>
      </c>
      <c r="AI10">
        <v>2001</v>
      </c>
      <c r="AJ10">
        <v>2002</v>
      </c>
      <c r="AK10">
        <v>2003</v>
      </c>
      <c r="AL10">
        <v>2004</v>
      </c>
      <c r="AM10">
        <v>2005</v>
      </c>
      <c r="AN10">
        <v>2006</v>
      </c>
      <c r="AO10">
        <v>2007</v>
      </c>
      <c r="AP10">
        <v>2008</v>
      </c>
      <c r="AQ10">
        <v>2009</v>
      </c>
      <c r="AR10">
        <v>2010</v>
      </c>
      <c r="AS10">
        <v>2011</v>
      </c>
      <c r="AT10">
        <v>2012</v>
      </c>
      <c r="AU10">
        <v>2013</v>
      </c>
      <c r="AV10">
        <v>2014</v>
      </c>
      <c r="AW10">
        <v>2015</v>
      </c>
      <c r="AX10">
        <v>2016</v>
      </c>
      <c r="AY10">
        <v>2017</v>
      </c>
      <c r="AZ10">
        <v>2018</v>
      </c>
      <c r="BA10" s="3">
        <v>2019</v>
      </c>
      <c r="BB10" s="3">
        <v>2020</v>
      </c>
      <c r="BC10">
        <v>2021</v>
      </c>
      <c r="BD10">
        <v>2022</v>
      </c>
      <c r="BE10">
        <v>2023</v>
      </c>
      <c r="BF10">
        <v>2024</v>
      </c>
      <c r="BG10">
        <v>2025</v>
      </c>
      <c r="BH10">
        <v>2026</v>
      </c>
      <c r="BI10">
        <v>2027</v>
      </c>
      <c r="BJ10">
        <v>2028</v>
      </c>
      <c r="BK10">
        <v>2029</v>
      </c>
      <c r="BL10">
        <v>2030</v>
      </c>
      <c r="BM10">
        <v>2031</v>
      </c>
      <c r="BN10">
        <v>2032</v>
      </c>
      <c r="BO10">
        <v>2033</v>
      </c>
      <c r="BP10">
        <v>2034</v>
      </c>
      <c r="BQ10">
        <v>2035</v>
      </c>
      <c r="BR10">
        <v>2036</v>
      </c>
      <c r="BS10">
        <v>2037</v>
      </c>
      <c r="BT10">
        <v>2038</v>
      </c>
      <c r="BU10">
        <v>2039</v>
      </c>
      <c r="BV10">
        <v>2040</v>
      </c>
      <c r="BW10">
        <v>2041</v>
      </c>
      <c r="BX10">
        <v>2042</v>
      </c>
      <c r="BY10">
        <v>2043</v>
      </c>
      <c r="BZ10">
        <v>2044</v>
      </c>
      <c r="CA10">
        <v>2045</v>
      </c>
      <c r="CB10">
        <v>2046</v>
      </c>
      <c r="CC10">
        <v>2047</v>
      </c>
      <c r="CD10">
        <v>2048</v>
      </c>
      <c r="CE10">
        <v>2049</v>
      </c>
      <c r="CF10">
        <v>2050</v>
      </c>
      <c r="CG10">
        <v>2051</v>
      </c>
      <c r="CH10">
        <v>2052</v>
      </c>
      <c r="CI10">
        <v>2053</v>
      </c>
      <c r="CJ10" s="5">
        <v>2054</v>
      </c>
      <c r="CK10">
        <v>2055</v>
      </c>
      <c r="CL10">
        <v>2056</v>
      </c>
      <c r="CM10">
        <v>2057</v>
      </c>
      <c r="CN10">
        <v>2058</v>
      </c>
      <c r="CO10">
        <v>2059</v>
      </c>
      <c r="CP10">
        <v>2060</v>
      </c>
      <c r="CQ10">
        <v>2061</v>
      </c>
      <c r="CR10">
        <v>2062</v>
      </c>
      <c r="CS10">
        <v>2063</v>
      </c>
      <c r="CT10">
        <v>2064</v>
      </c>
      <c r="CU10">
        <v>2065</v>
      </c>
      <c r="CV10">
        <v>2066</v>
      </c>
      <c r="CW10">
        <v>2067</v>
      </c>
      <c r="CX10">
        <v>2068</v>
      </c>
      <c r="CY10">
        <v>2069</v>
      </c>
      <c r="CZ10">
        <v>2070</v>
      </c>
    </row>
    <row r="11" spans="1:104" x14ac:dyDescent="0.3">
      <c r="A11" t="s">
        <v>8</v>
      </c>
      <c r="B11" t="s">
        <v>9</v>
      </c>
      <c r="C11" t="s">
        <v>10</v>
      </c>
      <c r="D11" t="s">
        <v>11</v>
      </c>
      <c r="E11" t="s">
        <v>11</v>
      </c>
      <c r="F11" t="s">
        <v>11</v>
      </c>
      <c r="G11" t="s">
        <v>11</v>
      </c>
      <c r="H11" t="s">
        <v>11</v>
      </c>
      <c r="I11" t="s">
        <v>11</v>
      </c>
      <c r="J11" t="s">
        <v>11</v>
      </c>
      <c r="K11" t="s">
        <v>11</v>
      </c>
      <c r="L11" t="s">
        <v>11</v>
      </c>
      <c r="M11" t="s">
        <v>11</v>
      </c>
      <c r="N11" t="s">
        <v>11</v>
      </c>
      <c r="O11" t="s">
        <v>11</v>
      </c>
      <c r="P11" t="s">
        <v>11</v>
      </c>
      <c r="Q11" t="s">
        <v>11</v>
      </c>
      <c r="R11" t="s">
        <v>11</v>
      </c>
      <c r="S11" t="s">
        <v>11</v>
      </c>
      <c r="T11" t="s">
        <v>11</v>
      </c>
      <c r="U11" t="s">
        <v>11</v>
      </c>
      <c r="V11" t="s">
        <v>11</v>
      </c>
      <c r="W11" t="s">
        <v>11</v>
      </c>
      <c r="X11" t="s">
        <v>11</v>
      </c>
      <c r="Y11" t="s">
        <v>11</v>
      </c>
      <c r="Z11" t="s">
        <v>11</v>
      </c>
      <c r="AA11" t="s">
        <v>11</v>
      </c>
      <c r="AB11" t="s">
        <v>11</v>
      </c>
      <c r="AC11" t="s">
        <v>11</v>
      </c>
      <c r="AD11" t="s">
        <v>11</v>
      </c>
      <c r="AE11" t="s">
        <v>11</v>
      </c>
      <c r="AF11" t="s">
        <v>11</v>
      </c>
      <c r="AG11" t="s">
        <v>11</v>
      </c>
      <c r="AH11" t="s">
        <v>11</v>
      </c>
      <c r="AI11" t="s">
        <v>11</v>
      </c>
      <c r="AJ11" t="s">
        <v>11</v>
      </c>
      <c r="AK11" t="s">
        <v>11</v>
      </c>
      <c r="AL11" t="s">
        <v>11</v>
      </c>
      <c r="AM11" t="s">
        <v>11</v>
      </c>
      <c r="AN11" t="s">
        <v>11</v>
      </c>
      <c r="AO11" t="s">
        <v>11</v>
      </c>
      <c r="AP11" t="s">
        <v>11</v>
      </c>
      <c r="AQ11" t="s">
        <v>11</v>
      </c>
      <c r="AR11" t="s">
        <v>11</v>
      </c>
      <c r="AS11" t="s">
        <v>11</v>
      </c>
      <c r="AT11" t="s">
        <v>11</v>
      </c>
      <c r="AU11" t="s">
        <v>11</v>
      </c>
      <c r="AV11" t="s">
        <v>11</v>
      </c>
      <c r="AW11" t="s">
        <v>11</v>
      </c>
      <c r="AX11" t="s">
        <v>11</v>
      </c>
      <c r="AY11" t="s">
        <v>11</v>
      </c>
      <c r="AZ11" t="s">
        <v>11</v>
      </c>
      <c r="BA11" s="3" t="s">
        <v>11</v>
      </c>
      <c r="BB11" s="3" t="s">
        <v>11</v>
      </c>
      <c r="BC11" t="s">
        <v>11</v>
      </c>
      <c r="BD11" t="s">
        <v>11</v>
      </c>
      <c r="BE11" t="s">
        <v>11</v>
      </c>
      <c r="BF11" t="s">
        <v>11</v>
      </c>
      <c r="BG11" t="s">
        <v>11</v>
      </c>
      <c r="BH11" t="s">
        <v>11</v>
      </c>
      <c r="BI11" t="s">
        <v>11</v>
      </c>
      <c r="BJ11" t="s">
        <v>11</v>
      </c>
      <c r="BK11" t="s">
        <v>11</v>
      </c>
      <c r="BL11" t="s">
        <v>11</v>
      </c>
      <c r="BM11" t="s">
        <v>11</v>
      </c>
      <c r="BN11" t="s">
        <v>11</v>
      </c>
      <c r="BO11" t="s">
        <v>11</v>
      </c>
      <c r="BP11" t="s">
        <v>11</v>
      </c>
      <c r="BQ11" t="s">
        <v>11</v>
      </c>
      <c r="BR11" t="s">
        <v>11</v>
      </c>
      <c r="BS11" t="s">
        <v>11</v>
      </c>
      <c r="BT11" t="s">
        <v>11</v>
      </c>
      <c r="BU11" t="s">
        <v>11</v>
      </c>
      <c r="BV11" t="s">
        <v>11</v>
      </c>
      <c r="BW11" t="s">
        <v>11</v>
      </c>
      <c r="BX11" t="s">
        <v>11</v>
      </c>
      <c r="BY11" t="s">
        <v>11</v>
      </c>
      <c r="BZ11" t="s">
        <v>11</v>
      </c>
      <c r="CA11" t="s">
        <v>11</v>
      </c>
      <c r="CB11" t="s">
        <v>11</v>
      </c>
      <c r="CC11" t="s">
        <v>11</v>
      </c>
      <c r="CD11" t="s">
        <v>11</v>
      </c>
      <c r="CE11" t="s">
        <v>11</v>
      </c>
      <c r="CF11" t="s">
        <v>11</v>
      </c>
      <c r="CG11" t="s">
        <v>11</v>
      </c>
      <c r="CH11" t="s">
        <v>11</v>
      </c>
      <c r="CI11" t="s">
        <v>11</v>
      </c>
      <c r="CJ11" s="5" t="s">
        <v>11</v>
      </c>
      <c r="CK11" t="s">
        <v>11</v>
      </c>
      <c r="CL11" t="s">
        <v>11</v>
      </c>
      <c r="CM11" t="s">
        <v>11</v>
      </c>
      <c r="CN11" t="s">
        <v>11</v>
      </c>
      <c r="CO11" t="s">
        <v>11</v>
      </c>
      <c r="CP11" t="s">
        <v>11</v>
      </c>
      <c r="CQ11" t="s">
        <v>11</v>
      </c>
      <c r="CR11" t="s">
        <v>11</v>
      </c>
      <c r="CS11" t="s">
        <v>11</v>
      </c>
      <c r="CT11" t="s">
        <v>11</v>
      </c>
      <c r="CU11" t="s">
        <v>11</v>
      </c>
      <c r="CV11" t="s">
        <v>11</v>
      </c>
      <c r="CW11" t="s">
        <v>11</v>
      </c>
      <c r="CX11" t="s">
        <v>11</v>
      </c>
      <c r="CY11" t="s">
        <v>11</v>
      </c>
      <c r="CZ11" t="s">
        <v>11</v>
      </c>
    </row>
    <row r="12" spans="1:104" x14ac:dyDescent="0.3">
      <c r="A12" t="s">
        <v>12</v>
      </c>
      <c r="B12" t="s">
        <v>13</v>
      </c>
      <c r="C12" t="s">
        <v>14</v>
      </c>
      <c r="D12">
        <v>974034</v>
      </c>
      <c r="E12">
        <v>956945</v>
      </c>
      <c r="F12">
        <v>955233</v>
      </c>
      <c r="G12">
        <v>944241</v>
      </c>
      <c r="H12">
        <v>928453</v>
      </c>
      <c r="I12">
        <v>923216</v>
      </c>
      <c r="J12">
        <v>943386</v>
      </c>
      <c r="K12">
        <v>960961</v>
      </c>
      <c r="L12">
        <v>986558</v>
      </c>
      <c r="M12">
        <v>1014974</v>
      </c>
      <c r="N12">
        <v>1031881</v>
      </c>
      <c r="O12">
        <v>1028974</v>
      </c>
      <c r="P12">
        <v>1035321</v>
      </c>
      <c r="Q12">
        <v>1025312</v>
      </c>
      <c r="R12">
        <v>995173</v>
      </c>
      <c r="S12">
        <v>962831</v>
      </c>
      <c r="T12">
        <v>917072</v>
      </c>
      <c r="U12">
        <v>869769</v>
      </c>
      <c r="V12">
        <v>850875</v>
      </c>
      <c r="W12">
        <v>832292</v>
      </c>
      <c r="X12">
        <v>836309</v>
      </c>
      <c r="Y12">
        <v>843907</v>
      </c>
      <c r="Z12">
        <v>848534</v>
      </c>
      <c r="AA12">
        <v>838993</v>
      </c>
      <c r="AB12">
        <v>836012</v>
      </c>
      <c r="AC12">
        <v>828904</v>
      </c>
      <c r="AD12">
        <v>828407</v>
      </c>
      <c r="AE12">
        <v>831971</v>
      </c>
      <c r="AF12">
        <v>804753</v>
      </c>
      <c r="AG12">
        <v>784903</v>
      </c>
      <c r="AH12">
        <v>776698</v>
      </c>
      <c r="AI12">
        <v>743975</v>
      </c>
      <c r="AJ12">
        <v>704807</v>
      </c>
      <c r="AK12">
        <v>684174</v>
      </c>
      <c r="AL12">
        <v>650216</v>
      </c>
      <c r="AM12">
        <v>598086</v>
      </c>
      <c r="AN12">
        <v>571699</v>
      </c>
      <c r="AO12">
        <v>550561</v>
      </c>
      <c r="AP12">
        <v>536491</v>
      </c>
      <c r="AQ12">
        <v>523013</v>
      </c>
      <c r="AR12">
        <v>503400</v>
      </c>
      <c r="AS12">
        <v>498746</v>
      </c>
      <c r="AT12">
        <v>511559</v>
      </c>
      <c r="AU12">
        <v>512213</v>
      </c>
      <c r="AV12">
        <v>520880</v>
      </c>
      <c r="AW12">
        <v>545209</v>
      </c>
      <c r="AX12">
        <v>550649</v>
      </c>
      <c r="AY12">
        <v>529720</v>
      </c>
      <c r="AZ12">
        <v>522390</v>
      </c>
      <c r="BA12" s="3">
        <v>505739</v>
      </c>
      <c r="BB12" s="3">
        <v>479321</v>
      </c>
      <c r="BC12">
        <v>448275</v>
      </c>
      <c r="BD12">
        <v>420168</v>
      </c>
      <c r="BE12">
        <v>401133</v>
      </c>
      <c r="BF12">
        <v>381067</v>
      </c>
      <c r="BG12">
        <v>365221</v>
      </c>
      <c r="BH12">
        <v>351188</v>
      </c>
      <c r="BI12">
        <v>345532</v>
      </c>
      <c r="BJ12">
        <v>341343</v>
      </c>
      <c r="BK12">
        <v>330835</v>
      </c>
      <c r="BL12">
        <v>323563</v>
      </c>
      <c r="BM12">
        <v>316530</v>
      </c>
      <c r="BN12">
        <v>309836</v>
      </c>
      <c r="BO12">
        <v>303799</v>
      </c>
      <c r="BP12">
        <v>299021</v>
      </c>
      <c r="BQ12">
        <v>294684</v>
      </c>
      <c r="BR12">
        <v>290620</v>
      </c>
      <c r="BS12">
        <v>286942</v>
      </c>
      <c r="BT12">
        <v>283862</v>
      </c>
      <c r="BU12">
        <v>280850</v>
      </c>
      <c r="BV12">
        <v>277558</v>
      </c>
      <c r="BW12">
        <v>274021</v>
      </c>
      <c r="BX12">
        <v>270530</v>
      </c>
      <c r="BY12">
        <v>267059</v>
      </c>
      <c r="BZ12">
        <v>263894</v>
      </c>
      <c r="CA12">
        <v>261265</v>
      </c>
      <c r="CB12">
        <v>259030</v>
      </c>
      <c r="CC12">
        <v>256489</v>
      </c>
      <c r="CD12">
        <v>253676</v>
      </c>
      <c r="CE12">
        <v>250599</v>
      </c>
      <c r="CF12">
        <v>247015</v>
      </c>
      <c r="CG12">
        <v>242911</v>
      </c>
      <c r="CH12">
        <v>238231</v>
      </c>
      <c r="CI12">
        <v>233001</v>
      </c>
      <c r="CJ12" s="5">
        <v>227354</v>
      </c>
      <c r="CK12">
        <v>221408</v>
      </c>
      <c r="CL12">
        <v>215237</v>
      </c>
      <c r="CM12">
        <v>209218</v>
      </c>
      <c r="CN12">
        <v>203521</v>
      </c>
      <c r="CO12">
        <v>198081</v>
      </c>
      <c r="CP12">
        <v>192954</v>
      </c>
      <c r="CQ12">
        <v>188206</v>
      </c>
      <c r="CR12">
        <v>183902</v>
      </c>
      <c r="CS12">
        <v>180006</v>
      </c>
      <c r="CT12">
        <v>176478</v>
      </c>
      <c r="CU12">
        <v>173310</v>
      </c>
      <c r="CV12">
        <v>170467</v>
      </c>
      <c r="CW12">
        <v>167888</v>
      </c>
      <c r="CX12">
        <v>165481</v>
      </c>
      <c r="CY12">
        <v>163248</v>
      </c>
      <c r="CZ12">
        <v>161179</v>
      </c>
    </row>
    <row r="13" spans="1:104" x14ac:dyDescent="0.3">
      <c r="A13" t="s">
        <v>12</v>
      </c>
      <c r="B13" t="s">
        <v>13</v>
      </c>
      <c r="C13" t="s">
        <v>15</v>
      </c>
      <c r="D13">
        <v>1032745</v>
      </c>
      <c r="E13">
        <v>1031079</v>
      </c>
      <c r="F13">
        <v>1021197</v>
      </c>
      <c r="G13">
        <v>1007047</v>
      </c>
      <c r="H13">
        <v>998334</v>
      </c>
      <c r="I13">
        <v>992148</v>
      </c>
      <c r="J13">
        <v>980364</v>
      </c>
      <c r="K13">
        <v>972833</v>
      </c>
      <c r="L13">
        <v>958874</v>
      </c>
      <c r="M13">
        <v>946018</v>
      </c>
      <c r="N13">
        <v>935627</v>
      </c>
      <c r="O13">
        <v>959696</v>
      </c>
      <c r="P13">
        <v>974411</v>
      </c>
      <c r="Q13">
        <v>999443</v>
      </c>
      <c r="R13">
        <v>1028071</v>
      </c>
      <c r="S13">
        <v>1048601</v>
      </c>
      <c r="T13">
        <v>1041447</v>
      </c>
      <c r="U13">
        <v>1045548</v>
      </c>
      <c r="V13">
        <v>1032898</v>
      </c>
      <c r="W13">
        <v>1007704</v>
      </c>
      <c r="X13">
        <v>974530</v>
      </c>
      <c r="Y13">
        <v>924557</v>
      </c>
      <c r="Z13">
        <v>882271</v>
      </c>
      <c r="AA13">
        <v>863197</v>
      </c>
      <c r="AB13">
        <v>837095</v>
      </c>
      <c r="AC13">
        <v>832631</v>
      </c>
      <c r="AD13">
        <v>842803</v>
      </c>
      <c r="AE13">
        <v>849722</v>
      </c>
      <c r="AF13">
        <v>842641</v>
      </c>
      <c r="AG13">
        <v>848731</v>
      </c>
      <c r="AH13">
        <v>841773</v>
      </c>
      <c r="AI13">
        <v>842623</v>
      </c>
      <c r="AJ13">
        <v>843183</v>
      </c>
      <c r="AK13">
        <v>812247</v>
      </c>
      <c r="AL13">
        <v>791835</v>
      </c>
      <c r="AM13">
        <v>783379</v>
      </c>
      <c r="AN13">
        <v>749063</v>
      </c>
      <c r="AO13">
        <v>709220</v>
      </c>
      <c r="AP13">
        <v>689226</v>
      </c>
      <c r="AQ13">
        <v>656333</v>
      </c>
      <c r="AR13">
        <v>605233</v>
      </c>
      <c r="AS13">
        <v>579777</v>
      </c>
      <c r="AT13">
        <v>558811</v>
      </c>
      <c r="AU13">
        <v>543718</v>
      </c>
      <c r="AV13">
        <v>530701</v>
      </c>
      <c r="AW13">
        <v>510204</v>
      </c>
      <c r="AX13">
        <v>506111</v>
      </c>
      <c r="AY13">
        <v>521151</v>
      </c>
      <c r="AZ13">
        <v>519411</v>
      </c>
      <c r="BA13" s="3">
        <v>528204</v>
      </c>
      <c r="BB13" s="3">
        <v>551328</v>
      </c>
      <c r="BC13">
        <v>551480</v>
      </c>
      <c r="BD13">
        <v>528980</v>
      </c>
      <c r="BE13">
        <v>528263</v>
      </c>
      <c r="BF13">
        <v>511337</v>
      </c>
      <c r="BG13">
        <v>486230</v>
      </c>
      <c r="BH13">
        <v>461276</v>
      </c>
      <c r="BI13">
        <v>433013</v>
      </c>
      <c r="BJ13">
        <v>408821</v>
      </c>
      <c r="BK13">
        <v>389733</v>
      </c>
      <c r="BL13">
        <v>373378</v>
      </c>
      <c r="BM13">
        <v>358433</v>
      </c>
      <c r="BN13">
        <v>352088</v>
      </c>
      <c r="BO13">
        <v>347464</v>
      </c>
      <c r="BP13">
        <v>337059</v>
      </c>
      <c r="BQ13">
        <v>329939</v>
      </c>
      <c r="BR13">
        <v>323066</v>
      </c>
      <c r="BS13">
        <v>316578</v>
      </c>
      <c r="BT13">
        <v>310833</v>
      </c>
      <c r="BU13">
        <v>306364</v>
      </c>
      <c r="BV13">
        <v>302299</v>
      </c>
      <c r="BW13">
        <v>298562</v>
      </c>
      <c r="BX13">
        <v>295203</v>
      </c>
      <c r="BY13">
        <v>292224</v>
      </c>
      <c r="BZ13">
        <v>289292</v>
      </c>
      <c r="CA13">
        <v>286081</v>
      </c>
      <c r="CB13">
        <v>282679</v>
      </c>
      <c r="CC13">
        <v>279307</v>
      </c>
      <c r="CD13">
        <v>275980</v>
      </c>
      <c r="CE13">
        <v>272894</v>
      </c>
      <c r="CF13">
        <v>270346</v>
      </c>
      <c r="CG13">
        <v>268208</v>
      </c>
      <c r="CH13">
        <v>265815</v>
      </c>
      <c r="CI13">
        <v>263081</v>
      </c>
      <c r="CJ13" s="5">
        <v>259980</v>
      </c>
      <c r="CK13">
        <v>256363</v>
      </c>
      <c r="CL13">
        <v>252226</v>
      </c>
      <c r="CM13">
        <v>247494</v>
      </c>
      <c r="CN13">
        <v>242214</v>
      </c>
      <c r="CO13">
        <v>236531</v>
      </c>
      <c r="CP13">
        <v>230553</v>
      </c>
      <c r="CQ13">
        <v>224353</v>
      </c>
      <c r="CR13">
        <v>218303</v>
      </c>
      <c r="CS13">
        <v>212584</v>
      </c>
      <c r="CT13">
        <v>207125</v>
      </c>
      <c r="CU13">
        <v>201976</v>
      </c>
      <c r="CV13">
        <v>197209</v>
      </c>
      <c r="CW13">
        <v>192889</v>
      </c>
      <c r="CX13">
        <v>188984</v>
      </c>
      <c r="CY13">
        <v>185445</v>
      </c>
      <c r="CZ13">
        <v>182262</v>
      </c>
    </row>
    <row r="14" spans="1:104" x14ac:dyDescent="0.3">
      <c r="A14" t="s">
        <v>12</v>
      </c>
      <c r="B14" t="s">
        <v>13</v>
      </c>
      <c r="C14" t="s">
        <v>16</v>
      </c>
      <c r="D14">
        <v>988025</v>
      </c>
      <c r="E14">
        <v>999335</v>
      </c>
      <c r="F14">
        <v>1025318</v>
      </c>
      <c r="G14">
        <v>1035688</v>
      </c>
      <c r="H14">
        <v>1039956</v>
      </c>
      <c r="I14">
        <v>1035899</v>
      </c>
      <c r="J14">
        <v>1035756</v>
      </c>
      <c r="K14">
        <v>1016234</v>
      </c>
      <c r="L14">
        <v>1004492</v>
      </c>
      <c r="M14">
        <v>995791</v>
      </c>
      <c r="N14">
        <v>989923</v>
      </c>
      <c r="O14">
        <v>975557</v>
      </c>
      <c r="P14">
        <v>968414</v>
      </c>
      <c r="Q14">
        <v>955552</v>
      </c>
      <c r="R14">
        <v>941453</v>
      </c>
      <c r="S14">
        <v>931912</v>
      </c>
      <c r="T14">
        <v>955801</v>
      </c>
      <c r="U14">
        <v>969628</v>
      </c>
      <c r="V14">
        <v>993204</v>
      </c>
      <c r="W14">
        <v>1019573</v>
      </c>
      <c r="X14">
        <v>1038378</v>
      </c>
      <c r="Y14">
        <v>1034173</v>
      </c>
      <c r="Z14">
        <v>1042014</v>
      </c>
      <c r="AA14">
        <v>1026965</v>
      </c>
      <c r="AB14">
        <v>1006634</v>
      </c>
      <c r="AC14">
        <v>971636</v>
      </c>
      <c r="AD14">
        <v>916435</v>
      </c>
      <c r="AE14">
        <v>871942</v>
      </c>
      <c r="AF14">
        <v>856638</v>
      </c>
      <c r="AG14">
        <v>830111</v>
      </c>
      <c r="AH14">
        <v>831160</v>
      </c>
      <c r="AI14">
        <v>842567</v>
      </c>
      <c r="AJ14">
        <v>849202</v>
      </c>
      <c r="AK14">
        <v>840744</v>
      </c>
      <c r="AL14">
        <v>846780</v>
      </c>
      <c r="AM14">
        <v>839692</v>
      </c>
      <c r="AN14">
        <v>840418</v>
      </c>
      <c r="AO14">
        <v>841204</v>
      </c>
      <c r="AP14">
        <v>810883</v>
      </c>
      <c r="AQ14">
        <v>790956</v>
      </c>
      <c r="AR14">
        <v>782666</v>
      </c>
      <c r="AS14">
        <v>748622</v>
      </c>
      <c r="AT14">
        <v>709152</v>
      </c>
      <c r="AU14">
        <v>689170</v>
      </c>
      <c r="AV14">
        <v>656183</v>
      </c>
      <c r="AW14">
        <v>605073</v>
      </c>
      <c r="AX14">
        <v>579306</v>
      </c>
      <c r="AY14">
        <v>558086</v>
      </c>
      <c r="AZ14">
        <v>542920</v>
      </c>
      <c r="BA14" s="3">
        <v>529859</v>
      </c>
      <c r="BB14" s="3">
        <v>508411</v>
      </c>
      <c r="BC14">
        <v>500477</v>
      </c>
      <c r="BD14">
        <v>512976</v>
      </c>
      <c r="BE14">
        <v>517742</v>
      </c>
      <c r="BF14">
        <v>527548</v>
      </c>
      <c r="BG14">
        <v>552787</v>
      </c>
      <c r="BH14">
        <v>558705</v>
      </c>
      <c r="BI14">
        <v>539485</v>
      </c>
      <c r="BJ14">
        <v>533110</v>
      </c>
      <c r="BK14">
        <v>515486</v>
      </c>
      <c r="BL14">
        <v>488910</v>
      </c>
      <c r="BM14">
        <v>462917</v>
      </c>
      <c r="BN14">
        <v>433721</v>
      </c>
      <c r="BO14">
        <v>408714</v>
      </c>
      <c r="BP14">
        <v>389769</v>
      </c>
      <c r="BQ14">
        <v>373557</v>
      </c>
      <c r="BR14">
        <v>358753</v>
      </c>
      <c r="BS14">
        <v>352538</v>
      </c>
      <c r="BT14">
        <v>348076</v>
      </c>
      <c r="BU14">
        <v>337856</v>
      </c>
      <c r="BV14">
        <v>330893</v>
      </c>
      <c r="BW14">
        <v>324172</v>
      </c>
      <c r="BX14">
        <v>317816</v>
      </c>
      <c r="BY14">
        <v>312142</v>
      </c>
      <c r="BZ14">
        <v>307748</v>
      </c>
      <c r="CA14">
        <v>303756</v>
      </c>
      <c r="CB14">
        <v>300100</v>
      </c>
      <c r="CC14">
        <v>296798</v>
      </c>
      <c r="CD14">
        <v>293885</v>
      </c>
      <c r="CE14">
        <v>291011</v>
      </c>
      <c r="CF14">
        <v>287862</v>
      </c>
      <c r="CG14">
        <v>284526</v>
      </c>
      <c r="CH14">
        <v>281229</v>
      </c>
      <c r="CI14">
        <v>277945</v>
      </c>
      <c r="CJ14" s="5">
        <v>274872</v>
      </c>
      <c r="CK14">
        <v>272338</v>
      </c>
      <c r="CL14">
        <v>270212</v>
      </c>
      <c r="CM14">
        <v>267830</v>
      </c>
      <c r="CN14">
        <v>265109</v>
      </c>
      <c r="CO14">
        <v>262021</v>
      </c>
      <c r="CP14">
        <v>258423</v>
      </c>
      <c r="CQ14">
        <v>254305</v>
      </c>
      <c r="CR14">
        <v>249598</v>
      </c>
      <c r="CS14">
        <v>244347</v>
      </c>
      <c r="CT14">
        <v>238692</v>
      </c>
      <c r="CU14">
        <v>232745</v>
      </c>
      <c r="CV14">
        <v>226574</v>
      </c>
      <c r="CW14">
        <v>220552</v>
      </c>
      <c r="CX14">
        <v>214859</v>
      </c>
      <c r="CY14">
        <v>209423</v>
      </c>
      <c r="CZ14">
        <v>204296</v>
      </c>
    </row>
    <row r="15" spans="1:104" x14ac:dyDescent="0.3">
      <c r="A15" t="s">
        <v>12</v>
      </c>
      <c r="B15" t="s">
        <v>13</v>
      </c>
      <c r="C15" t="s">
        <v>17</v>
      </c>
      <c r="D15">
        <v>899138</v>
      </c>
      <c r="E15">
        <v>917597</v>
      </c>
      <c r="F15">
        <v>935755</v>
      </c>
      <c r="G15">
        <v>954953</v>
      </c>
      <c r="H15">
        <v>975768</v>
      </c>
      <c r="I15">
        <v>986738</v>
      </c>
      <c r="J15">
        <v>998006</v>
      </c>
      <c r="K15">
        <v>1018989</v>
      </c>
      <c r="L15">
        <v>1030339</v>
      </c>
      <c r="M15">
        <v>1033377</v>
      </c>
      <c r="N15">
        <v>1028905</v>
      </c>
      <c r="O15">
        <v>1026841</v>
      </c>
      <c r="P15">
        <v>1009949</v>
      </c>
      <c r="Q15">
        <v>997573</v>
      </c>
      <c r="R15">
        <v>987739</v>
      </c>
      <c r="S15">
        <v>981181</v>
      </c>
      <c r="T15">
        <v>966716</v>
      </c>
      <c r="U15">
        <v>959733</v>
      </c>
      <c r="V15">
        <v>946268</v>
      </c>
      <c r="W15">
        <v>931441</v>
      </c>
      <c r="X15">
        <v>919522</v>
      </c>
      <c r="Y15">
        <v>942699</v>
      </c>
      <c r="Z15">
        <v>955702</v>
      </c>
      <c r="AA15">
        <v>977797</v>
      </c>
      <c r="AB15">
        <v>1011303</v>
      </c>
      <c r="AC15">
        <v>1032061</v>
      </c>
      <c r="AD15">
        <v>1027808</v>
      </c>
      <c r="AE15">
        <v>1034479</v>
      </c>
      <c r="AF15">
        <v>1022518</v>
      </c>
      <c r="AG15">
        <v>997692</v>
      </c>
      <c r="AH15">
        <v>964868</v>
      </c>
      <c r="AI15">
        <v>910170</v>
      </c>
      <c r="AJ15">
        <v>866630</v>
      </c>
      <c r="AK15">
        <v>850160</v>
      </c>
      <c r="AL15">
        <v>823881</v>
      </c>
      <c r="AM15">
        <v>825590</v>
      </c>
      <c r="AN15">
        <v>837559</v>
      </c>
      <c r="AO15">
        <v>844751</v>
      </c>
      <c r="AP15">
        <v>837112</v>
      </c>
      <c r="AQ15">
        <v>843652</v>
      </c>
      <c r="AR15">
        <v>836734</v>
      </c>
      <c r="AS15">
        <v>837814</v>
      </c>
      <c r="AT15">
        <v>839044</v>
      </c>
      <c r="AU15">
        <v>809139</v>
      </c>
      <c r="AV15">
        <v>789321</v>
      </c>
      <c r="AW15">
        <v>781104</v>
      </c>
      <c r="AX15">
        <v>747320</v>
      </c>
      <c r="AY15">
        <v>707868</v>
      </c>
      <c r="AZ15">
        <v>687961</v>
      </c>
      <c r="BA15" s="3">
        <v>655005</v>
      </c>
      <c r="BB15" s="3">
        <v>602819</v>
      </c>
      <c r="BC15">
        <v>574085</v>
      </c>
      <c r="BD15">
        <v>551330</v>
      </c>
      <c r="BE15">
        <v>541235</v>
      </c>
      <c r="BF15">
        <v>528930</v>
      </c>
      <c r="BG15">
        <v>508626</v>
      </c>
      <c r="BH15">
        <v>504319</v>
      </c>
      <c r="BI15">
        <v>519310</v>
      </c>
      <c r="BJ15">
        <v>517979</v>
      </c>
      <c r="BK15">
        <v>527837</v>
      </c>
      <c r="BL15">
        <v>552984</v>
      </c>
      <c r="BM15">
        <v>558825</v>
      </c>
      <c r="BN15">
        <v>539380</v>
      </c>
      <c r="BO15">
        <v>532451</v>
      </c>
      <c r="BP15">
        <v>514944</v>
      </c>
      <c r="BQ15">
        <v>488524</v>
      </c>
      <c r="BR15">
        <v>462679</v>
      </c>
      <c r="BS15">
        <v>433662</v>
      </c>
      <c r="BT15">
        <v>408848</v>
      </c>
      <c r="BU15">
        <v>390063</v>
      </c>
      <c r="BV15">
        <v>373991</v>
      </c>
      <c r="BW15">
        <v>359311</v>
      </c>
      <c r="BX15">
        <v>353187</v>
      </c>
      <c r="BY15">
        <v>348776</v>
      </c>
      <c r="BZ15">
        <v>338634</v>
      </c>
      <c r="CA15">
        <v>331736</v>
      </c>
      <c r="CB15">
        <v>325080</v>
      </c>
      <c r="CC15">
        <v>318774</v>
      </c>
      <c r="CD15">
        <v>313161</v>
      </c>
      <c r="CE15">
        <v>308823</v>
      </c>
      <c r="CF15">
        <v>304880</v>
      </c>
      <c r="CG15">
        <v>301269</v>
      </c>
      <c r="CH15">
        <v>298015</v>
      </c>
      <c r="CI15">
        <v>295132</v>
      </c>
      <c r="CJ15" s="5">
        <v>292275</v>
      </c>
      <c r="CK15">
        <v>289143</v>
      </c>
      <c r="CL15">
        <v>285819</v>
      </c>
      <c r="CM15">
        <v>282535</v>
      </c>
      <c r="CN15">
        <v>279265</v>
      </c>
      <c r="CO15">
        <v>276207</v>
      </c>
      <c r="CP15">
        <v>273683</v>
      </c>
      <c r="CQ15">
        <v>271568</v>
      </c>
      <c r="CR15">
        <v>269197</v>
      </c>
      <c r="CS15">
        <v>266487</v>
      </c>
      <c r="CT15">
        <v>263414</v>
      </c>
      <c r="CU15">
        <v>259829</v>
      </c>
      <c r="CV15">
        <v>255727</v>
      </c>
      <c r="CW15">
        <v>251037</v>
      </c>
      <c r="CX15">
        <v>245801</v>
      </c>
      <c r="CY15">
        <v>240165</v>
      </c>
      <c r="CZ15">
        <v>234240</v>
      </c>
    </row>
    <row r="16" spans="1:104" x14ac:dyDescent="0.3">
      <c r="A16" t="s">
        <v>12</v>
      </c>
      <c r="B16" t="s">
        <v>13</v>
      </c>
      <c r="C16" t="s">
        <v>18</v>
      </c>
      <c r="D16">
        <v>613923</v>
      </c>
      <c r="E16">
        <v>704867</v>
      </c>
      <c r="F16">
        <v>768298</v>
      </c>
      <c r="G16">
        <v>818306</v>
      </c>
      <c r="H16">
        <v>858343</v>
      </c>
      <c r="I16">
        <v>898252</v>
      </c>
      <c r="J16">
        <v>918163</v>
      </c>
      <c r="K16">
        <v>931476</v>
      </c>
      <c r="L16">
        <v>951283</v>
      </c>
      <c r="M16">
        <v>971313</v>
      </c>
      <c r="N16">
        <v>983464</v>
      </c>
      <c r="O16">
        <v>992278</v>
      </c>
      <c r="P16">
        <v>1013074</v>
      </c>
      <c r="Q16">
        <v>1023488</v>
      </c>
      <c r="R16">
        <v>1027912</v>
      </c>
      <c r="S16">
        <v>1024483</v>
      </c>
      <c r="T16">
        <v>1021437</v>
      </c>
      <c r="U16">
        <v>1004717</v>
      </c>
      <c r="V16">
        <v>992769</v>
      </c>
      <c r="W16">
        <v>983442</v>
      </c>
      <c r="X16">
        <v>974754</v>
      </c>
      <c r="Y16">
        <v>959307</v>
      </c>
      <c r="Z16">
        <v>952881</v>
      </c>
      <c r="AA16">
        <v>939178</v>
      </c>
      <c r="AB16">
        <v>922677</v>
      </c>
      <c r="AC16">
        <v>911104</v>
      </c>
      <c r="AD16">
        <v>935259</v>
      </c>
      <c r="AE16">
        <v>948608</v>
      </c>
      <c r="AF16">
        <v>972277</v>
      </c>
      <c r="AG16">
        <v>1002156</v>
      </c>
      <c r="AH16">
        <v>1023835</v>
      </c>
      <c r="AI16">
        <v>1018859</v>
      </c>
      <c r="AJ16">
        <v>1026165</v>
      </c>
      <c r="AK16">
        <v>1012438</v>
      </c>
      <c r="AL16">
        <v>988195</v>
      </c>
      <c r="AM16">
        <v>956187</v>
      </c>
      <c r="AN16">
        <v>902971</v>
      </c>
      <c r="AO16">
        <v>860639</v>
      </c>
      <c r="AP16">
        <v>845169</v>
      </c>
      <c r="AQ16">
        <v>819263</v>
      </c>
      <c r="AR16">
        <v>821067</v>
      </c>
      <c r="AS16">
        <v>832933</v>
      </c>
      <c r="AT16">
        <v>840354</v>
      </c>
      <c r="AU16">
        <v>833182</v>
      </c>
      <c r="AV16">
        <v>839945</v>
      </c>
      <c r="AW16">
        <v>833406</v>
      </c>
      <c r="AX16">
        <v>834607</v>
      </c>
      <c r="AY16">
        <v>835784</v>
      </c>
      <c r="AZ16">
        <v>806031</v>
      </c>
      <c r="BA16" s="3">
        <v>786337</v>
      </c>
      <c r="BB16" s="3">
        <v>777563</v>
      </c>
      <c r="BC16">
        <v>741685</v>
      </c>
      <c r="BD16">
        <v>701233</v>
      </c>
      <c r="BE16">
        <v>684099</v>
      </c>
      <c r="BF16">
        <v>651847</v>
      </c>
      <c r="BG16">
        <v>600774</v>
      </c>
      <c r="BH16">
        <v>575220</v>
      </c>
      <c r="BI16">
        <v>554287</v>
      </c>
      <c r="BJ16">
        <v>539252</v>
      </c>
      <c r="BK16">
        <v>526448</v>
      </c>
      <c r="BL16">
        <v>506226</v>
      </c>
      <c r="BM16">
        <v>502384</v>
      </c>
      <c r="BN16">
        <v>517683</v>
      </c>
      <c r="BO16">
        <v>516716</v>
      </c>
      <c r="BP16">
        <v>526603</v>
      </c>
      <c r="BQ16">
        <v>551698</v>
      </c>
      <c r="BR16">
        <v>557584</v>
      </c>
      <c r="BS16">
        <v>538308</v>
      </c>
      <c r="BT16">
        <v>531509</v>
      </c>
      <c r="BU16">
        <v>514185</v>
      </c>
      <c r="BV16">
        <v>487979</v>
      </c>
      <c r="BW16">
        <v>462344</v>
      </c>
      <c r="BX16">
        <v>433526</v>
      </c>
      <c r="BY16">
        <v>408858</v>
      </c>
      <c r="BZ16">
        <v>390199</v>
      </c>
      <c r="CA16">
        <v>374239</v>
      </c>
      <c r="CB16">
        <v>359674</v>
      </c>
      <c r="CC16">
        <v>353611</v>
      </c>
      <c r="CD16">
        <v>349259</v>
      </c>
      <c r="CE16">
        <v>339193</v>
      </c>
      <c r="CF16">
        <v>332364</v>
      </c>
      <c r="CG16">
        <v>325777</v>
      </c>
      <c r="CH16">
        <v>319539</v>
      </c>
      <c r="CI16">
        <v>313977</v>
      </c>
      <c r="CJ16" s="5">
        <v>309665</v>
      </c>
      <c r="CK16">
        <v>305743</v>
      </c>
      <c r="CL16">
        <v>302155</v>
      </c>
      <c r="CM16">
        <v>298922</v>
      </c>
      <c r="CN16">
        <v>296059</v>
      </c>
      <c r="CO16">
        <v>293223</v>
      </c>
      <c r="CP16">
        <v>290111</v>
      </c>
      <c r="CQ16">
        <v>286806</v>
      </c>
      <c r="CR16">
        <v>283542</v>
      </c>
      <c r="CS16">
        <v>280291</v>
      </c>
      <c r="CT16">
        <v>277249</v>
      </c>
      <c r="CU16">
        <v>274740</v>
      </c>
      <c r="CV16">
        <v>272639</v>
      </c>
      <c r="CW16">
        <v>270281</v>
      </c>
      <c r="CX16">
        <v>267588</v>
      </c>
      <c r="CY16">
        <v>264534</v>
      </c>
      <c r="CZ16">
        <v>260965</v>
      </c>
    </row>
    <row r="17" spans="1:104" x14ac:dyDescent="0.3">
      <c r="A17" t="s">
        <v>12</v>
      </c>
      <c r="B17" t="s">
        <v>13</v>
      </c>
      <c r="C17" t="s">
        <v>19</v>
      </c>
      <c r="D17">
        <v>476385</v>
      </c>
      <c r="E17">
        <v>468074</v>
      </c>
      <c r="F17">
        <v>479747</v>
      </c>
      <c r="G17">
        <v>503343</v>
      </c>
      <c r="H17">
        <v>545077</v>
      </c>
      <c r="I17">
        <v>611328</v>
      </c>
      <c r="J17">
        <v>696226</v>
      </c>
      <c r="K17">
        <v>758535</v>
      </c>
      <c r="L17">
        <v>807497</v>
      </c>
      <c r="M17">
        <v>848038</v>
      </c>
      <c r="N17">
        <v>887073</v>
      </c>
      <c r="O17">
        <v>906402</v>
      </c>
      <c r="P17">
        <v>921180</v>
      </c>
      <c r="Q17">
        <v>938465</v>
      </c>
      <c r="R17">
        <v>958965</v>
      </c>
      <c r="S17">
        <v>969901</v>
      </c>
      <c r="T17">
        <v>978271</v>
      </c>
      <c r="U17">
        <v>997449</v>
      </c>
      <c r="V17">
        <v>1007453</v>
      </c>
      <c r="W17">
        <v>1012566</v>
      </c>
      <c r="X17">
        <v>1011861</v>
      </c>
      <c r="Y17">
        <v>1006489</v>
      </c>
      <c r="Z17">
        <v>990251</v>
      </c>
      <c r="AA17">
        <v>978571</v>
      </c>
      <c r="AB17">
        <v>967512</v>
      </c>
      <c r="AC17">
        <v>962374</v>
      </c>
      <c r="AD17">
        <v>946727</v>
      </c>
      <c r="AE17">
        <v>940902</v>
      </c>
      <c r="AF17">
        <v>928765</v>
      </c>
      <c r="AG17">
        <v>915210</v>
      </c>
      <c r="AH17">
        <v>905239</v>
      </c>
      <c r="AI17">
        <v>930094</v>
      </c>
      <c r="AJ17">
        <v>943791</v>
      </c>
      <c r="AK17">
        <v>967088</v>
      </c>
      <c r="AL17">
        <v>996749</v>
      </c>
      <c r="AM17">
        <v>1018399</v>
      </c>
      <c r="AN17">
        <v>1014502</v>
      </c>
      <c r="AO17">
        <v>1022008</v>
      </c>
      <c r="AP17">
        <v>1009260</v>
      </c>
      <c r="AQ17">
        <v>985114</v>
      </c>
      <c r="AR17">
        <v>953304</v>
      </c>
      <c r="AS17">
        <v>899967</v>
      </c>
      <c r="AT17">
        <v>857626</v>
      </c>
      <c r="AU17">
        <v>842171</v>
      </c>
      <c r="AV17">
        <v>816522</v>
      </c>
      <c r="AW17">
        <v>818133</v>
      </c>
      <c r="AX17">
        <v>829814</v>
      </c>
      <c r="AY17">
        <v>836819</v>
      </c>
      <c r="AZ17">
        <v>829259</v>
      </c>
      <c r="BA17" s="3">
        <v>835899</v>
      </c>
      <c r="BB17" s="3">
        <v>828469</v>
      </c>
      <c r="BC17">
        <v>825351</v>
      </c>
      <c r="BD17">
        <v>824703</v>
      </c>
      <c r="BE17">
        <v>800683</v>
      </c>
      <c r="BF17">
        <v>781870</v>
      </c>
      <c r="BG17">
        <v>773417</v>
      </c>
      <c r="BH17">
        <v>739576</v>
      </c>
      <c r="BI17">
        <v>700176</v>
      </c>
      <c r="BJ17">
        <v>680014</v>
      </c>
      <c r="BK17">
        <v>647442</v>
      </c>
      <c r="BL17">
        <v>597141</v>
      </c>
      <c r="BM17">
        <v>572172</v>
      </c>
      <c r="BN17">
        <v>551744</v>
      </c>
      <c r="BO17">
        <v>537161</v>
      </c>
      <c r="BP17">
        <v>524474</v>
      </c>
      <c r="BQ17">
        <v>504399</v>
      </c>
      <c r="BR17">
        <v>500628</v>
      </c>
      <c r="BS17">
        <v>515916</v>
      </c>
      <c r="BT17">
        <v>515027</v>
      </c>
      <c r="BU17">
        <v>524942</v>
      </c>
      <c r="BV17">
        <v>549979</v>
      </c>
      <c r="BW17">
        <v>555903</v>
      </c>
      <c r="BX17">
        <v>536772</v>
      </c>
      <c r="BY17">
        <v>530039</v>
      </c>
      <c r="BZ17">
        <v>512832</v>
      </c>
      <c r="CA17">
        <v>486775</v>
      </c>
      <c r="CB17">
        <v>461290</v>
      </c>
      <c r="CC17">
        <v>432626</v>
      </c>
      <c r="CD17">
        <v>408101</v>
      </c>
      <c r="CE17">
        <v>389551</v>
      </c>
      <c r="CF17">
        <v>373690</v>
      </c>
      <c r="CG17">
        <v>359215</v>
      </c>
      <c r="CH17">
        <v>353208</v>
      </c>
      <c r="CI17">
        <v>348893</v>
      </c>
      <c r="CJ17" s="5">
        <v>338877</v>
      </c>
      <c r="CK17">
        <v>332088</v>
      </c>
      <c r="CL17">
        <v>325535</v>
      </c>
      <c r="CM17">
        <v>319331</v>
      </c>
      <c r="CN17">
        <v>313801</v>
      </c>
      <c r="CO17">
        <v>309516</v>
      </c>
      <c r="CP17">
        <v>305622</v>
      </c>
      <c r="CQ17">
        <v>302057</v>
      </c>
      <c r="CR17">
        <v>298844</v>
      </c>
      <c r="CS17">
        <v>296000</v>
      </c>
      <c r="CT17">
        <v>293184</v>
      </c>
      <c r="CU17">
        <v>290088</v>
      </c>
      <c r="CV17">
        <v>286805</v>
      </c>
      <c r="CW17">
        <v>283562</v>
      </c>
      <c r="CX17">
        <v>280330</v>
      </c>
      <c r="CY17">
        <v>277303</v>
      </c>
      <c r="CZ17">
        <v>274811</v>
      </c>
    </row>
    <row r="18" spans="1:104" x14ac:dyDescent="0.3">
      <c r="A18" t="s">
        <v>12</v>
      </c>
      <c r="B18" t="s">
        <v>13</v>
      </c>
      <c r="C18" t="s">
        <v>20</v>
      </c>
      <c r="D18">
        <v>464656</v>
      </c>
      <c r="E18">
        <v>475625</v>
      </c>
      <c r="F18">
        <v>482578</v>
      </c>
      <c r="G18">
        <v>489747</v>
      </c>
      <c r="H18">
        <v>487697</v>
      </c>
      <c r="I18">
        <v>470618</v>
      </c>
      <c r="J18">
        <v>460547</v>
      </c>
      <c r="K18">
        <v>470710</v>
      </c>
      <c r="L18">
        <v>495426</v>
      </c>
      <c r="M18">
        <v>538128</v>
      </c>
      <c r="N18">
        <v>603824</v>
      </c>
      <c r="O18">
        <v>687339</v>
      </c>
      <c r="P18">
        <v>750402</v>
      </c>
      <c r="Q18">
        <v>796780</v>
      </c>
      <c r="R18">
        <v>837342</v>
      </c>
      <c r="S18">
        <v>874647</v>
      </c>
      <c r="T18">
        <v>891206</v>
      </c>
      <c r="U18">
        <v>902960</v>
      </c>
      <c r="V18">
        <v>924044</v>
      </c>
      <c r="W18">
        <v>942367</v>
      </c>
      <c r="X18">
        <v>957301</v>
      </c>
      <c r="Y18">
        <v>964915</v>
      </c>
      <c r="Z18">
        <v>983486</v>
      </c>
      <c r="AA18">
        <v>994422</v>
      </c>
      <c r="AB18">
        <v>999784</v>
      </c>
      <c r="AC18">
        <v>999400</v>
      </c>
      <c r="AD18">
        <v>996496</v>
      </c>
      <c r="AE18">
        <v>980473</v>
      </c>
      <c r="AF18">
        <v>971092</v>
      </c>
      <c r="AG18">
        <v>962506</v>
      </c>
      <c r="AH18">
        <v>957030</v>
      </c>
      <c r="AI18">
        <v>943317</v>
      </c>
      <c r="AJ18">
        <v>936397</v>
      </c>
      <c r="AK18">
        <v>921888</v>
      </c>
      <c r="AL18">
        <v>907862</v>
      </c>
      <c r="AM18">
        <v>897966</v>
      </c>
      <c r="AN18">
        <v>923631</v>
      </c>
      <c r="AO18">
        <v>937762</v>
      </c>
      <c r="AP18">
        <v>961387</v>
      </c>
      <c r="AQ18">
        <v>990622</v>
      </c>
      <c r="AR18">
        <v>1012113</v>
      </c>
      <c r="AS18">
        <v>1007873</v>
      </c>
      <c r="AT18">
        <v>1015792</v>
      </c>
      <c r="AU18">
        <v>1003345</v>
      </c>
      <c r="AV18">
        <v>979985</v>
      </c>
      <c r="AW18">
        <v>948459</v>
      </c>
      <c r="AX18">
        <v>895355</v>
      </c>
      <c r="AY18">
        <v>852994</v>
      </c>
      <c r="AZ18">
        <v>837430</v>
      </c>
      <c r="BA18" s="3">
        <v>811836</v>
      </c>
      <c r="BB18" s="3">
        <v>812698</v>
      </c>
      <c r="BC18">
        <v>819451</v>
      </c>
      <c r="BD18">
        <v>823488</v>
      </c>
      <c r="BE18">
        <v>823350</v>
      </c>
      <c r="BF18">
        <v>831003</v>
      </c>
      <c r="BG18">
        <v>823763</v>
      </c>
      <c r="BH18">
        <v>824534</v>
      </c>
      <c r="BI18">
        <v>825397</v>
      </c>
      <c r="BJ18">
        <v>795777</v>
      </c>
      <c r="BK18">
        <v>776384</v>
      </c>
      <c r="BL18">
        <v>768454</v>
      </c>
      <c r="BM18">
        <v>735320</v>
      </c>
      <c r="BN18">
        <v>696629</v>
      </c>
      <c r="BO18">
        <v>677019</v>
      </c>
      <c r="BP18">
        <v>644684</v>
      </c>
      <c r="BQ18">
        <v>594708</v>
      </c>
      <c r="BR18">
        <v>569929</v>
      </c>
      <c r="BS18">
        <v>549673</v>
      </c>
      <c r="BT18">
        <v>535240</v>
      </c>
      <c r="BU18">
        <v>522685</v>
      </c>
      <c r="BV18">
        <v>502775</v>
      </c>
      <c r="BW18">
        <v>499083</v>
      </c>
      <c r="BX18">
        <v>514361</v>
      </c>
      <c r="BY18">
        <v>513527</v>
      </c>
      <c r="BZ18">
        <v>523443</v>
      </c>
      <c r="CA18">
        <v>548414</v>
      </c>
      <c r="CB18">
        <v>554361</v>
      </c>
      <c r="CC18">
        <v>535350</v>
      </c>
      <c r="CD18">
        <v>528685</v>
      </c>
      <c r="CE18">
        <v>511591</v>
      </c>
      <c r="CF18">
        <v>485684</v>
      </c>
      <c r="CG18">
        <v>460342</v>
      </c>
      <c r="CH18">
        <v>431832</v>
      </c>
      <c r="CI18">
        <v>407429</v>
      </c>
      <c r="CJ18" s="5">
        <v>388969</v>
      </c>
      <c r="CK18">
        <v>373192</v>
      </c>
      <c r="CL18">
        <v>358792</v>
      </c>
      <c r="CM18">
        <v>352821</v>
      </c>
      <c r="CN18">
        <v>348533</v>
      </c>
      <c r="CO18">
        <v>338568</v>
      </c>
      <c r="CP18">
        <v>331816</v>
      </c>
      <c r="CQ18">
        <v>325301</v>
      </c>
      <c r="CR18">
        <v>319133</v>
      </c>
      <c r="CS18">
        <v>313636</v>
      </c>
      <c r="CT18">
        <v>309378</v>
      </c>
      <c r="CU18">
        <v>305508</v>
      </c>
      <c r="CV18">
        <v>301964</v>
      </c>
      <c r="CW18">
        <v>298771</v>
      </c>
      <c r="CX18">
        <v>295946</v>
      </c>
      <c r="CY18">
        <v>293150</v>
      </c>
      <c r="CZ18">
        <v>290077</v>
      </c>
    </row>
    <row r="19" spans="1:104" x14ac:dyDescent="0.3">
      <c r="A19" t="s">
        <v>12</v>
      </c>
      <c r="B19" t="s">
        <v>13</v>
      </c>
      <c r="C19" t="s">
        <v>21</v>
      </c>
      <c r="D19">
        <v>457330</v>
      </c>
      <c r="E19">
        <v>443409</v>
      </c>
      <c r="F19">
        <v>442533</v>
      </c>
      <c r="G19">
        <v>442733</v>
      </c>
      <c r="H19">
        <v>447096</v>
      </c>
      <c r="I19">
        <v>457984</v>
      </c>
      <c r="J19">
        <v>469617</v>
      </c>
      <c r="K19">
        <v>474152</v>
      </c>
      <c r="L19">
        <v>481264</v>
      </c>
      <c r="M19">
        <v>481806</v>
      </c>
      <c r="N19">
        <v>466043</v>
      </c>
      <c r="O19">
        <v>455640</v>
      </c>
      <c r="P19">
        <v>466562</v>
      </c>
      <c r="Q19">
        <v>489502</v>
      </c>
      <c r="R19">
        <v>531587</v>
      </c>
      <c r="S19">
        <v>594395</v>
      </c>
      <c r="T19">
        <v>673229</v>
      </c>
      <c r="U19">
        <v>731800</v>
      </c>
      <c r="V19">
        <v>781227</v>
      </c>
      <c r="W19">
        <v>819835</v>
      </c>
      <c r="X19">
        <v>859616</v>
      </c>
      <c r="Y19">
        <v>878637</v>
      </c>
      <c r="Z19">
        <v>892329</v>
      </c>
      <c r="AA19">
        <v>912226</v>
      </c>
      <c r="AB19">
        <v>932906</v>
      </c>
      <c r="AC19">
        <v>945331</v>
      </c>
      <c r="AD19">
        <v>954943</v>
      </c>
      <c r="AE19">
        <v>975340</v>
      </c>
      <c r="AF19">
        <v>989035</v>
      </c>
      <c r="AG19">
        <v>992806</v>
      </c>
      <c r="AH19">
        <v>990211</v>
      </c>
      <c r="AI19">
        <v>988598</v>
      </c>
      <c r="AJ19">
        <v>971469</v>
      </c>
      <c r="AK19">
        <v>960123</v>
      </c>
      <c r="AL19">
        <v>951254</v>
      </c>
      <c r="AM19">
        <v>945670</v>
      </c>
      <c r="AN19">
        <v>932908</v>
      </c>
      <c r="AO19">
        <v>926562</v>
      </c>
      <c r="AP19">
        <v>913095</v>
      </c>
      <c r="AQ19">
        <v>899207</v>
      </c>
      <c r="AR19">
        <v>889468</v>
      </c>
      <c r="AS19">
        <v>914496</v>
      </c>
      <c r="AT19">
        <v>928490</v>
      </c>
      <c r="AU19">
        <v>952401</v>
      </c>
      <c r="AV19">
        <v>982359</v>
      </c>
      <c r="AW19">
        <v>1004245</v>
      </c>
      <c r="AX19">
        <v>1000692</v>
      </c>
      <c r="AY19">
        <v>1009075</v>
      </c>
      <c r="AZ19">
        <v>996693</v>
      </c>
      <c r="BA19" s="3">
        <v>973587</v>
      </c>
      <c r="BB19" s="3">
        <v>941428</v>
      </c>
      <c r="BC19">
        <v>884401</v>
      </c>
      <c r="BD19">
        <v>839523</v>
      </c>
      <c r="BE19">
        <v>831586</v>
      </c>
      <c r="BF19">
        <v>807507</v>
      </c>
      <c r="BG19">
        <v>808093</v>
      </c>
      <c r="BH19">
        <v>819052</v>
      </c>
      <c r="BI19">
        <v>825642</v>
      </c>
      <c r="BJ19">
        <v>817878</v>
      </c>
      <c r="BK19">
        <v>824648</v>
      </c>
      <c r="BL19">
        <v>818428</v>
      </c>
      <c r="BM19">
        <v>819944</v>
      </c>
      <c r="BN19">
        <v>821374</v>
      </c>
      <c r="BO19">
        <v>792474</v>
      </c>
      <c r="BP19">
        <v>773341</v>
      </c>
      <c r="BQ19">
        <v>765593</v>
      </c>
      <c r="BR19">
        <v>732763</v>
      </c>
      <c r="BS19">
        <v>694438</v>
      </c>
      <c r="BT19">
        <v>675107</v>
      </c>
      <c r="BU19">
        <v>643088</v>
      </c>
      <c r="BV19">
        <v>593490</v>
      </c>
      <c r="BW19">
        <v>568940</v>
      </c>
      <c r="BX19">
        <v>548875</v>
      </c>
      <c r="BY19">
        <v>534591</v>
      </c>
      <c r="BZ19">
        <v>522186</v>
      </c>
      <c r="CA19">
        <v>502450</v>
      </c>
      <c r="CB19">
        <v>498850</v>
      </c>
      <c r="CC19">
        <v>514113</v>
      </c>
      <c r="CD19">
        <v>513348</v>
      </c>
      <c r="CE19">
        <v>523323</v>
      </c>
      <c r="CF19">
        <v>548279</v>
      </c>
      <c r="CG19">
        <v>554274</v>
      </c>
      <c r="CH19">
        <v>535399</v>
      </c>
      <c r="CI19">
        <v>528820</v>
      </c>
      <c r="CJ19" s="5">
        <v>511831</v>
      </c>
      <c r="CK19">
        <v>486047</v>
      </c>
      <c r="CL19">
        <v>460823</v>
      </c>
      <c r="CM19">
        <v>432438</v>
      </c>
      <c r="CN19">
        <v>408146</v>
      </c>
      <c r="CO19">
        <v>389764</v>
      </c>
      <c r="CP19">
        <v>374053</v>
      </c>
      <c r="CQ19">
        <v>359718</v>
      </c>
      <c r="CR19">
        <v>353789</v>
      </c>
      <c r="CS19">
        <v>349536</v>
      </c>
      <c r="CT19">
        <v>339620</v>
      </c>
      <c r="CU19">
        <v>332902</v>
      </c>
      <c r="CV19">
        <v>326423</v>
      </c>
      <c r="CW19">
        <v>320288</v>
      </c>
      <c r="CX19">
        <v>314823</v>
      </c>
      <c r="CY19">
        <v>310591</v>
      </c>
      <c r="CZ19">
        <v>306745</v>
      </c>
    </row>
    <row r="20" spans="1:104" x14ac:dyDescent="0.3">
      <c r="A20" t="s">
        <v>12</v>
      </c>
      <c r="B20" t="s">
        <v>13</v>
      </c>
      <c r="C20" t="s">
        <v>22</v>
      </c>
      <c r="D20">
        <v>510649</v>
      </c>
      <c r="E20">
        <v>510466</v>
      </c>
      <c r="F20">
        <v>503534</v>
      </c>
      <c r="G20">
        <v>485076</v>
      </c>
      <c r="H20">
        <v>466316</v>
      </c>
      <c r="I20">
        <v>449433</v>
      </c>
      <c r="J20">
        <v>435665</v>
      </c>
      <c r="K20">
        <v>432694</v>
      </c>
      <c r="L20">
        <v>433277</v>
      </c>
      <c r="M20">
        <v>438580</v>
      </c>
      <c r="N20">
        <v>451844</v>
      </c>
      <c r="O20">
        <v>461495</v>
      </c>
      <c r="P20">
        <v>466015</v>
      </c>
      <c r="Q20">
        <v>471800</v>
      </c>
      <c r="R20">
        <v>473507</v>
      </c>
      <c r="S20">
        <v>457537</v>
      </c>
      <c r="T20">
        <v>449242</v>
      </c>
      <c r="U20">
        <v>460504</v>
      </c>
      <c r="V20">
        <v>482685</v>
      </c>
      <c r="W20">
        <v>522260</v>
      </c>
      <c r="X20">
        <v>585909</v>
      </c>
      <c r="Y20">
        <v>663796</v>
      </c>
      <c r="Z20">
        <v>722576</v>
      </c>
      <c r="AA20">
        <v>770835</v>
      </c>
      <c r="AB20">
        <v>810417</v>
      </c>
      <c r="AC20">
        <v>848300</v>
      </c>
      <c r="AD20">
        <v>865339</v>
      </c>
      <c r="AE20">
        <v>878916</v>
      </c>
      <c r="AF20">
        <v>900056</v>
      </c>
      <c r="AG20">
        <v>919603</v>
      </c>
      <c r="AH20">
        <v>931580</v>
      </c>
      <c r="AI20">
        <v>941127</v>
      </c>
      <c r="AJ20">
        <v>960079</v>
      </c>
      <c r="AK20">
        <v>971638</v>
      </c>
      <c r="AL20">
        <v>975195</v>
      </c>
      <c r="AM20">
        <v>972854</v>
      </c>
      <c r="AN20">
        <v>972298</v>
      </c>
      <c r="AO20">
        <v>956057</v>
      </c>
      <c r="AP20">
        <v>945857</v>
      </c>
      <c r="AQ20">
        <v>937285</v>
      </c>
      <c r="AR20">
        <v>932140</v>
      </c>
      <c r="AS20">
        <v>919426</v>
      </c>
      <c r="AT20">
        <v>912991</v>
      </c>
      <c r="AU20">
        <v>899869</v>
      </c>
      <c r="AV20">
        <v>886945</v>
      </c>
      <c r="AW20">
        <v>877836</v>
      </c>
      <c r="AX20">
        <v>903230</v>
      </c>
      <c r="AY20">
        <v>917671</v>
      </c>
      <c r="AZ20">
        <v>941853</v>
      </c>
      <c r="BA20" s="3">
        <v>972012</v>
      </c>
      <c r="BB20" s="3">
        <v>993290</v>
      </c>
      <c r="BC20">
        <v>985293</v>
      </c>
      <c r="BD20">
        <v>990550</v>
      </c>
      <c r="BE20">
        <v>986636</v>
      </c>
      <c r="BF20">
        <v>965271</v>
      </c>
      <c r="BG20">
        <v>933851</v>
      </c>
      <c r="BH20">
        <v>881544</v>
      </c>
      <c r="BI20">
        <v>839666</v>
      </c>
      <c r="BJ20">
        <v>824135</v>
      </c>
      <c r="BK20">
        <v>798817</v>
      </c>
      <c r="BL20">
        <v>800173</v>
      </c>
      <c r="BM20">
        <v>811586</v>
      </c>
      <c r="BN20">
        <v>818896</v>
      </c>
      <c r="BO20">
        <v>812079</v>
      </c>
      <c r="BP20">
        <v>818980</v>
      </c>
      <c r="BQ20">
        <v>813036</v>
      </c>
      <c r="BR20">
        <v>814741</v>
      </c>
      <c r="BS20">
        <v>816376</v>
      </c>
      <c r="BT20">
        <v>787872</v>
      </c>
      <c r="BU20">
        <v>769074</v>
      </c>
      <c r="BV20">
        <v>761629</v>
      </c>
      <c r="BW20">
        <v>729240</v>
      </c>
      <c r="BX20">
        <v>691365</v>
      </c>
      <c r="BY20">
        <v>672248</v>
      </c>
      <c r="BZ20">
        <v>640562</v>
      </c>
      <c r="CA20">
        <v>591448</v>
      </c>
      <c r="CB20">
        <v>567187</v>
      </c>
      <c r="CC20">
        <v>547374</v>
      </c>
      <c r="CD20">
        <v>533295</v>
      </c>
      <c r="CE20">
        <v>521064</v>
      </c>
      <c r="CF20">
        <v>501513</v>
      </c>
      <c r="CG20">
        <v>498046</v>
      </c>
      <c r="CH20">
        <v>513391</v>
      </c>
      <c r="CI20">
        <v>512723</v>
      </c>
      <c r="CJ20" s="5">
        <v>522705</v>
      </c>
      <c r="CK20">
        <v>547576</v>
      </c>
      <c r="CL20">
        <v>553596</v>
      </c>
      <c r="CM20">
        <v>534884</v>
      </c>
      <c r="CN20">
        <v>528365</v>
      </c>
      <c r="CO20">
        <v>511499</v>
      </c>
      <c r="CP20">
        <v>485883</v>
      </c>
      <c r="CQ20">
        <v>460819</v>
      </c>
      <c r="CR20">
        <v>432594</v>
      </c>
      <c r="CS20">
        <v>408437</v>
      </c>
      <c r="CT20">
        <v>390184</v>
      </c>
      <c r="CU20">
        <v>374582</v>
      </c>
      <c r="CV20">
        <v>360345</v>
      </c>
      <c r="CW20">
        <v>354468</v>
      </c>
      <c r="CX20">
        <v>350255</v>
      </c>
      <c r="CY20">
        <v>340403</v>
      </c>
      <c r="CZ20">
        <v>333735</v>
      </c>
    </row>
    <row r="21" spans="1:104" x14ac:dyDescent="0.3">
      <c r="A21" t="s">
        <v>12</v>
      </c>
      <c r="B21" t="s">
        <v>13</v>
      </c>
      <c r="C21" t="s">
        <v>23</v>
      </c>
      <c r="D21">
        <v>419615</v>
      </c>
      <c r="E21">
        <v>437336</v>
      </c>
      <c r="F21">
        <v>456454</v>
      </c>
      <c r="G21">
        <v>477338</v>
      </c>
      <c r="H21">
        <v>491285</v>
      </c>
      <c r="I21">
        <v>500064</v>
      </c>
      <c r="J21">
        <v>498187</v>
      </c>
      <c r="K21">
        <v>487595</v>
      </c>
      <c r="L21">
        <v>470864</v>
      </c>
      <c r="M21">
        <v>454348</v>
      </c>
      <c r="N21">
        <v>438471</v>
      </c>
      <c r="O21">
        <v>425094</v>
      </c>
      <c r="P21">
        <v>421329</v>
      </c>
      <c r="Q21">
        <v>421124</v>
      </c>
      <c r="R21">
        <v>427824</v>
      </c>
      <c r="S21">
        <v>439276</v>
      </c>
      <c r="T21">
        <v>450112</v>
      </c>
      <c r="U21">
        <v>457594</v>
      </c>
      <c r="V21">
        <v>463632</v>
      </c>
      <c r="W21">
        <v>465199</v>
      </c>
      <c r="X21">
        <v>450964</v>
      </c>
      <c r="Y21">
        <v>443856</v>
      </c>
      <c r="Z21">
        <v>451477</v>
      </c>
      <c r="AA21">
        <v>471877</v>
      </c>
      <c r="AB21">
        <v>508108</v>
      </c>
      <c r="AC21">
        <v>568978</v>
      </c>
      <c r="AD21">
        <v>646207</v>
      </c>
      <c r="AE21">
        <v>705103</v>
      </c>
      <c r="AF21">
        <v>753418</v>
      </c>
      <c r="AG21">
        <v>791357</v>
      </c>
      <c r="AH21">
        <v>829386</v>
      </c>
      <c r="AI21">
        <v>846586</v>
      </c>
      <c r="AJ21">
        <v>858992</v>
      </c>
      <c r="AK21">
        <v>877898</v>
      </c>
      <c r="AL21">
        <v>896871</v>
      </c>
      <c r="AM21">
        <v>908705</v>
      </c>
      <c r="AN21">
        <v>919910</v>
      </c>
      <c r="AO21">
        <v>938532</v>
      </c>
      <c r="AP21">
        <v>950823</v>
      </c>
      <c r="AQ21">
        <v>954649</v>
      </c>
      <c r="AR21">
        <v>952466</v>
      </c>
      <c r="AS21">
        <v>951201</v>
      </c>
      <c r="AT21">
        <v>935207</v>
      </c>
      <c r="AU21">
        <v>925294</v>
      </c>
      <c r="AV21">
        <v>917741</v>
      </c>
      <c r="AW21">
        <v>913117</v>
      </c>
      <c r="AX21">
        <v>901383</v>
      </c>
      <c r="AY21">
        <v>895576</v>
      </c>
      <c r="AZ21">
        <v>882891</v>
      </c>
      <c r="BA21" s="3">
        <v>870707</v>
      </c>
      <c r="BB21" s="3">
        <v>861418</v>
      </c>
      <c r="BC21">
        <v>882337</v>
      </c>
      <c r="BD21">
        <v>893304</v>
      </c>
      <c r="BE21">
        <v>925136</v>
      </c>
      <c r="BF21">
        <v>956248</v>
      </c>
      <c r="BG21">
        <v>977536</v>
      </c>
      <c r="BH21">
        <v>974468</v>
      </c>
      <c r="BI21">
        <v>983023</v>
      </c>
      <c r="BJ21">
        <v>971313</v>
      </c>
      <c r="BK21">
        <v>949285</v>
      </c>
      <c r="BL21">
        <v>919541</v>
      </c>
      <c r="BM21">
        <v>868533</v>
      </c>
      <c r="BN21">
        <v>827718</v>
      </c>
      <c r="BO21">
        <v>812850</v>
      </c>
      <c r="BP21">
        <v>788189</v>
      </c>
      <c r="BQ21">
        <v>789840</v>
      </c>
      <c r="BR21">
        <v>801315</v>
      </c>
      <c r="BS21">
        <v>808755</v>
      </c>
      <c r="BT21">
        <v>802323</v>
      </c>
      <c r="BU21">
        <v>809374</v>
      </c>
      <c r="BV21">
        <v>803777</v>
      </c>
      <c r="BW21">
        <v>805705</v>
      </c>
      <c r="BX21">
        <v>807557</v>
      </c>
      <c r="BY21">
        <v>779546</v>
      </c>
      <c r="BZ21">
        <v>761164</v>
      </c>
      <c r="CA21">
        <v>754034</v>
      </c>
      <c r="CB21">
        <v>722184</v>
      </c>
      <c r="CC21">
        <v>684922</v>
      </c>
      <c r="CD21">
        <v>666124</v>
      </c>
      <c r="CE21">
        <v>634910</v>
      </c>
      <c r="CF21">
        <v>586491</v>
      </c>
      <c r="CG21">
        <v>562624</v>
      </c>
      <c r="CH21">
        <v>543161</v>
      </c>
      <c r="CI21">
        <v>529345</v>
      </c>
      <c r="CJ21" s="5">
        <v>517339</v>
      </c>
      <c r="CK21">
        <v>498043</v>
      </c>
      <c r="CL21">
        <v>494718</v>
      </c>
      <c r="CM21">
        <v>510070</v>
      </c>
      <c r="CN21">
        <v>509498</v>
      </c>
      <c r="CO21">
        <v>519495</v>
      </c>
      <c r="CP21">
        <v>544212</v>
      </c>
      <c r="CQ21">
        <v>550254</v>
      </c>
      <c r="CR21">
        <v>531802</v>
      </c>
      <c r="CS21">
        <v>525387</v>
      </c>
      <c r="CT21">
        <v>508724</v>
      </c>
      <c r="CU21">
        <v>483378</v>
      </c>
      <c r="CV21">
        <v>458578</v>
      </c>
      <c r="CW21">
        <v>430624</v>
      </c>
      <c r="CX21">
        <v>406696</v>
      </c>
      <c r="CY21">
        <v>388644</v>
      </c>
      <c r="CZ21">
        <v>373210</v>
      </c>
    </row>
    <row r="22" spans="1:104" x14ac:dyDescent="0.3">
      <c r="A22" t="s">
        <v>12</v>
      </c>
      <c r="B22" t="s">
        <v>13</v>
      </c>
      <c r="C22" t="s">
        <v>24</v>
      </c>
      <c r="D22">
        <v>300538</v>
      </c>
      <c r="E22">
        <v>324003</v>
      </c>
      <c r="F22">
        <v>345611</v>
      </c>
      <c r="G22">
        <v>363693</v>
      </c>
      <c r="H22">
        <v>386283</v>
      </c>
      <c r="I22">
        <v>406252</v>
      </c>
      <c r="J22">
        <v>422911</v>
      </c>
      <c r="K22">
        <v>439976</v>
      </c>
      <c r="L22">
        <v>459696</v>
      </c>
      <c r="M22">
        <v>475219</v>
      </c>
      <c r="N22">
        <v>482632</v>
      </c>
      <c r="O22">
        <v>480157</v>
      </c>
      <c r="P22">
        <v>470978</v>
      </c>
      <c r="Q22">
        <v>454264</v>
      </c>
      <c r="R22">
        <v>438062</v>
      </c>
      <c r="S22">
        <v>422743</v>
      </c>
      <c r="T22">
        <v>411299</v>
      </c>
      <c r="U22">
        <v>410236</v>
      </c>
      <c r="V22">
        <v>410988</v>
      </c>
      <c r="W22">
        <v>416487</v>
      </c>
      <c r="X22">
        <v>428066</v>
      </c>
      <c r="Y22">
        <v>438826</v>
      </c>
      <c r="Z22">
        <v>443183</v>
      </c>
      <c r="AA22">
        <v>447587</v>
      </c>
      <c r="AB22">
        <v>444463</v>
      </c>
      <c r="AC22">
        <v>426680</v>
      </c>
      <c r="AD22">
        <v>415574</v>
      </c>
      <c r="AE22">
        <v>426471</v>
      </c>
      <c r="AF22">
        <v>449997</v>
      </c>
      <c r="AG22">
        <v>489804</v>
      </c>
      <c r="AH22">
        <v>550932</v>
      </c>
      <c r="AI22">
        <v>627410</v>
      </c>
      <c r="AJ22">
        <v>683753</v>
      </c>
      <c r="AK22">
        <v>729037</v>
      </c>
      <c r="AL22">
        <v>765796</v>
      </c>
      <c r="AM22">
        <v>803078</v>
      </c>
      <c r="AN22">
        <v>821251</v>
      </c>
      <c r="AO22">
        <v>833832</v>
      </c>
      <c r="AP22">
        <v>853304</v>
      </c>
      <c r="AQ22">
        <v>872033</v>
      </c>
      <c r="AR22">
        <v>883709</v>
      </c>
      <c r="AS22">
        <v>893621</v>
      </c>
      <c r="AT22">
        <v>912094</v>
      </c>
      <c r="AU22">
        <v>923924</v>
      </c>
      <c r="AV22">
        <v>927927</v>
      </c>
      <c r="AW22">
        <v>926100</v>
      </c>
      <c r="AX22">
        <v>924716</v>
      </c>
      <c r="AY22">
        <v>909365</v>
      </c>
      <c r="AZ22">
        <v>900275</v>
      </c>
      <c r="BA22" s="3">
        <v>893605</v>
      </c>
      <c r="BB22" s="3">
        <v>888663</v>
      </c>
      <c r="BC22">
        <v>873204</v>
      </c>
      <c r="BD22">
        <v>864564</v>
      </c>
      <c r="BE22">
        <v>859477</v>
      </c>
      <c r="BF22">
        <v>848743</v>
      </c>
      <c r="BG22">
        <v>840286</v>
      </c>
      <c r="BH22">
        <v>865566</v>
      </c>
      <c r="BI22">
        <v>879838</v>
      </c>
      <c r="BJ22">
        <v>903364</v>
      </c>
      <c r="BK22">
        <v>932727</v>
      </c>
      <c r="BL22">
        <v>954395</v>
      </c>
      <c r="BM22">
        <v>952118</v>
      </c>
      <c r="BN22">
        <v>961174</v>
      </c>
      <c r="BO22">
        <v>950462</v>
      </c>
      <c r="BP22">
        <v>929239</v>
      </c>
      <c r="BQ22">
        <v>900411</v>
      </c>
      <c r="BR22">
        <v>850749</v>
      </c>
      <c r="BS22">
        <v>811118</v>
      </c>
      <c r="BT22">
        <v>796969</v>
      </c>
      <c r="BU22">
        <v>773162</v>
      </c>
      <c r="BV22">
        <v>775136</v>
      </c>
      <c r="BW22">
        <v>786614</v>
      </c>
      <c r="BX22">
        <v>794141</v>
      </c>
      <c r="BY22">
        <v>788124</v>
      </c>
      <c r="BZ22">
        <v>795265</v>
      </c>
      <c r="CA22">
        <v>790046</v>
      </c>
      <c r="CB22">
        <v>792185</v>
      </c>
      <c r="CC22">
        <v>794237</v>
      </c>
      <c r="CD22">
        <v>766864</v>
      </c>
      <c r="CE22">
        <v>748998</v>
      </c>
      <c r="CF22">
        <v>742254</v>
      </c>
      <c r="CG22">
        <v>711130</v>
      </c>
      <c r="CH22">
        <v>674702</v>
      </c>
      <c r="CI22">
        <v>656300</v>
      </c>
      <c r="CJ22" s="5">
        <v>625719</v>
      </c>
      <c r="CK22">
        <v>578273</v>
      </c>
      <c r="CL22">
        <v>554934</v>
      </c>
      <c r="CM22">
        <v>535935</v>
      </c>
      <c r="CN22">
        <v>522462</v>
      </c>
      <c r="CO22">
        <v>510759</v>
      </c>
      <c r="CP22">
        <v>491815</v>
      </c>
      <c r="CQ22">
        <v>488684</v>
      </c>
      <c r="CR22">
        <v>504023</v>
      </c>
      <c r="CS22">
        <v>503573</v>
      </c>
      <c r="CT22">
        <v>513560</v>
      </c>
      <c r="CU22">
        <v>538003</v>
      </c>
      <c r="CV22">
        <v>544049</v>
      </c>
      <c r="CW22">
        <v>525970</v>
      </c>
      <c r="CX22">
        <v>519686</v>
      </c>
      <c r="CY22">
        <v>503317</v>
      </c>
      <c r="CZ22">
        <v>478375</v>
      </c>
    </row>
    <row r="23" spans="1:104" x14ac:dyDescent="0.3">
      <c r="A23" t="s">
        <v>12</v>
      </c>
      <c r="B23" t="s">
        <v>13</v>
      </c>
      <c r="C23" t="s">
        <v>25</v>
      </c>
      <c r="D23">
        <v>244831</v>
      </c>
      <c r="E23">
        <v>253209</v>
      </c>
      <c r="F23">
        <v>253340</v>
      </c>
      <c r="G23">
        <v>259673</v>
      </c>
      <c r="H23">
        <v>267406</v>
      </c>
      <c r="I23">
        <v>281813</v>
      </c>
      <c r="J23">
        <v>304989</v>
      </c>
      <c r="K23">
        <v>323997</v>
      </c>
      <c r="L23">
        <v>340614</v>
      </c>
      <c r="M23">
        <v>360155</v>
      </c>
      <c r="N23">
        <v>382148</v>
      </c>
      <c r="O23">
        <v>398702</v>
      </c>
      <c r="P23">
        <v>415958</v>
      </c>
      <c r="Q23">
        <v>435512</v>
      </c>
      <c r="R23">
        <v>450737</v>
      </c>
      <c r="S23">
        <v>457701</v>
      </c>
      <c r="T23">
        <v>454885</v>
      </c>
      <c r="U23">
        <v>448336</v>
      </c>
      <c r="V23">
        <v>433808</v>
      </c>
      <c r="W23">
        <v>417661</v>
      </c>
      <c r="X23">
        <v>402381</v>
      </c>
      <c r="Y23">
        <v>391291</v>
      </c>
      <c r="Z23">
        <v>389203</v>
      </c>
      <c r="AA23">
        <v>389157</v>
      </c>
      <c r="AB23">
        <v>390779</v>
      </c>
      <c r="AC23">
        <v>400396</v>
      </c>
      <c r="AD23">
        <v>408932</v>
      </c>
      <c r="AE23">
        <v>414295</v>
      </c>
      <c r="AF23">
        <v>421175</v>
      </c>
      <c r="AG23">
        <v>421673</v>
      </c>
      <c r="AH23">
        <v>405574</v>
      </c>
      <c r="AI23">
        <v>397003</v>
      </c>
      <c r="AJ23">
        <v>407786</v>
      </c>
      <c r="AK23">
        <v>429830</v>
      </c>
      <c r="AL23">
        <v>468133</v>
      </c>
      <c r="AM23">
        <v>527088</v>
      </c>
      <c r="AN23">
        <v>602280</v>
      </c>
      <c r="AO23">
        <v>657109</v>
      </c>
      <c r="AP23">
        <v>701768</v>
      </c>
      <c r="AQ23">
        <v>737598</v>
      </c>
      <c r="AR23">
        <v>773674</v>
      </c>
      <c r="AS23">
        <v>790656</v>
      </c>
      <c r="AT23">
        <v>803377</v>
      </c>
      <c r="AU23">
        <v>822075</v>
      </c>
      <c r="AV23">
        <v>840614</v>
      </c>
      <c r="AW23">
        <v>851684</v>
      </c>
      <c r="AX23">
        <v>861044</v>
      </c>
      <c r="AY23">
        <v>878847</v>
      </c>
      <c r="AZ23">
        <v>890359</v>
      </c>
      <c r="BA23" s="3">
        <v>894467</v>
      </c>
      <c r="BB23" s="3">
        <v>892095</v>
      </c>
      <c r="BC23">
        <v>886769</v>
      </c>
      <c r="BD23">
        <v>868925</v>
      </c>
      <c r="BE23">
        <v>866736</v>
      </c>
      <c r="BF23">
        <v>861080</v>
      </c>
      <c r="BG23">
        <v>857239</v>
      </c>
      <c r="BH23">
        <v>847236</v>
      </c>
      <c r="BI23">
        <v>842594</v>
      </c>
      <c r="BJ23">
        <v>831448</v>
      </c>
      <c r="BK23">
        <v>820743</v>
      </c>
      <c r="BL23">
        <v>813355</v>
      </c>
      <c r="BM23">
        <v>838333</v>
      </c>
      <c r="BN23">
        <v>852510</v>
      </c>
      <c r="BO23">
        <v>875672</v>
      </c>
      <c r="BP23">
        <v>904458</v>
      </c>
      <c r="BQ23">
        <v>925731</v>
      </c>
      <c r="BR23">
        <v>923941</v>
      </c>
      <c r="BS23">
        <v>933021</v>
      </c>
      <c r="BT23">
        <v>922933</v>
      </c>
      <c r="BU23">
        <v>902665</v>
      </c>
      <c r="BV23">
        <v>874949</v>
      </c>
      <c r="BW23">
        <v>826974</v>
      </c>
      <c r="BX23">
        <v>788795</v>
      </c>
      <c r="BY23">
        <v>775433</v>
      </c>
      <c r="BZ23">
        <v>752615</v>
      </c>
      <c r="CA23">
        <v>754886</v>
      </c>
      <c r="CB23">
        <v>766269</v>
      </c>
      <c r="CC23">
        <v>773811</v>
      </c>
      <c r="CD23">
        <v>768257</v>
      </c>
      <c r="CE23">
        <v>775434</v>
      </c>
      <c r="CF23">
        <v>770630</v>
      </c>
      <c r="CG23">
        <v>772961</v>
      </c>
      <c r="CH23">
        <v>775207</v>
      </c>
      <c r="CI23">
        <v>748653</v>
      </c>
      <c r="CJ23" s="5">
        <v>731424</v>
      </c>
      <c r="CK23">
        <v>725117</v>
      </c>
      <c r="CL23">
        <v>694922</v>
      </c>
      <c r="CM23">
        <v>659577</v>
      </c>
      <c r="CN23">
        <v>641696</v>
      </c>
      <c r="CO23">
        <v>611962</v>
      </c>
      <c r="CP23">
        <v>565830</v>
      </c>
      <c r="CQ23">
        <v>543192</v>
      </c>
      <c r="CR23">
        <v>524798</v>
      </c>
      <c r="CS23">
        <v>511774</v>
      </c>
      <c r="CT23">
        <v>500467</v>
      </c>
      <c r="CU23">
        <v>482011</v>
      </c>
      <c r="CV23">
        <v>479109</v>
      </c>
      <c r="CW23">
        <v>494365</v>
      </c>
      <c r="CX23">
        <v>494047</v>
      </c>
      <c r="CY23">
        <v>503973</v>
      </c>
      <c r="CZ23">
        <v>527989</v>
      </c>
    </row>
    <row r="24" spans="1:104" x14ac:dyDescent="0.3">
      <c r="A24" t="s">
        <v>12</v>
      </c>
      <c r="B24" t="s">
        <v>13</v>
      </c>
      <c r="C24" t="s">
        <v>26</v>
      </c>
      <c r="D24">
        <v>157392</v>
      </c>
      <c r="E24">
        <v>166736</v>
      </c>
      <c r="F24">
        <v>186585</v>
      </c>
      <c r="G24">
        <v>199491</v>
      </c>
      <c r="H24">
        <v>211284</v>
      </c>
      <c r="I24">
        <v>220066</v>
      </c>
      <c r="J24">
        <v>229142</v>
      </c>
      <c r="K24">
        <v>229506</v>
      </c>
      <c r="L24">
        <v>236276</v>
      </c>
      <c r="M24">
        <v>243917</v>
      </c>
      <c r="N24">
        <v>258184</v>
      </c>
      <c r="O24">
        <v>279378</v>
      </c>
      <c r="P24">
        <v>297496</v>
      </c>
      <c r="Q24">
        <v>312690</v>
      </c>
      <c r="R24">
        <v>330954</v>
      </c>
      <c r="S24">
        <v>353055</v>
      </c>
      <c r="T24">
        <v>367380</v>
      </c>
      <c r="U24">
        <v>385499</v>
      </c>
      <c r="V24">
        <v>403571</v>
      </c>
      <c r="W24">
        <v>415948</v>
      </c>
      <c r="X24">
        <v>422559</v>
      </c>
      <c r="Y24">
        <v>423353</v>
      </c>
      <c r="Z24">
        <v>413629</v>
      </c>
      <c r="AA24">
        <v>401476</v>
      </c>
      <c r="AB24">
        <v>385289</v>
      </c>
      <c r="AC24">
        <v>370095</v>
      </c>
      <c r="AD24">
        <v>357729</v>
      </c>
      <c r="AE24">
        <v>355662</v>
      </c>
      <c r="AF24">
        <v>357588</v>
      </c>
      <c r="AG24">
        <v>363324</v>
      </c>
      <c r="AH24">
        <v>372741</v>
      </c>
      <c r="AI24">
        <v>382731</v>
      </c>
      <c r="AJ24">
        <v>388001</v>
      </c>
      <c r="AK24">
        <v>394429</v>
      </c>
      <c r="AL24">
        <v>395322</v>
      </c>
      <c r="AM24">
        <v>380324</v>
      </c>
      <c r="AN24">
        <v>373307</v>
      </c>
      <c r="AO24">
        <v>384466</v>
      </c>
      <c r="AP24">
        <v>406629</v>
      </c>
      <c r="AQ24">
        <v>443885</v>
      </c>
      <c r="AR24">
        <v>500740</v>
      </c>
      <c r="AS24">
        <v>571994</v>
      </c>
      <c r="AT24">
        <v>624453</v>
      </c>
      <c r="AU24">
        <v>666914</v>
      </c>
      <c r="AV24">
        <v>701675</v>
      </c>
      <c r="AW24">
        <v>736337</v>
      </c>
      <c r="AX24">
        <v>752645</v>
      </c>
      <c r="AY24">
        <v>764913</v>
      </c>
      <c r="AZ24">
        <v>782721</v>
      </c>
      <c r="BA24" s="3">
        <v>800678</v>
      </c>
      <c r="BB24" s="3">
        <v>809910</v>
      </c>
      <c r="BC24">
        <v>813629</v>
      </c>
      <c r="BD24">
        <v>827663</v>
      </c>
      <c r="BE24">
        <v>845099</v>
      </c>
      <c r="BF24">
        <v>849692</v>
      </c>
      <c r="BG24">
        <v>848807</v>
      </c>
      <c r="BH24">
        <v>848522</v>
      </c>
      <c r="BI24">
        <v>835253</v>
      </c>
      <c r="BJ24">
        <v>827789</v>
      </c>
      <c r="BK24">
        <v>822519</v>
      </c>
      <c r="BL24">
        <v>819766</v>
      </c>
      <c r="BM24">
        <v>810691</v>
      </c>
      <c r="BN24">
        <v>806643</v>
      </c>
      <c r="BO24">
        <v>796430</v>
      </c>
      <c r="BP24">
        <v>786565</v>
      </c>
      <c r="BQ24">
        <v>779900</v>
      </c>
      <c r="BR24">
        <v>804364</v>
      </c>
      <c r="BS24">
        <v>818319</v>
      </c>
      <c r="BT24">
        <v>840931</v>
      </c>
      <c r="BU24">
        <v>868924</v>
      </c>
      <c r="BV24">
        <v>889653</v>
      </c>
      <c r="BW24">
        <v>888379</v>
      </c>
      <c r="BX24">
        <v>897421</v>
      </c>
      <c r="BY24">
        <v>888030</v>
      </c>
      <c r="BZ24">
        <v>868873</v>
      </c>
      <c r="CA24">
        <v>842489</v>
      </c>
      <c r="CB24">
        <v>796582</v>
      </c>
      <c r="CC24">
        <v>760159</v>
      </c>
      <c r="CD24">
        <v>747712</v>
      </c>
      <c r="CE24">
        <v>726078</v>
      </c>
      <c r="CF24">
        <v>728643</v>
      </c>
      <c r="CG24">
        <v>739853</v>
      </c>
      <c r="CH24">
        <v>747378</v>
      </c>
      <c r="CI24">
        <v>742338</v>
      </c>
      <c r="CJ24" s="5">
        <v>749510</v>
      </c>
      <c r="CK24">
        <v>745172</v>
      </c>
      <c r="CL24">
        <v>747687</v>
      </c>
      <c r="CM24">
        <v>750126</v>
      </c>
      <c r="CN24">
        <v>724609</v>
      </c>
      <c r="CO24">
        <v>708169</v>
      </c>
      <c r="CP24">
        <v>702369</v>
      </c>
      <c r="CQ24">
        <v>673356</v>
      </c>
      <c r="CR24">
        <v>639369</v>
      </c>
      <c r="CS24">
        <v>622165</v>
      </c>
      <c r="CT24">
        <v>593528</v>
      </c>
      <c r="CU24">
        <v>549059</v>
      </c>
      <c r="CV24">
        <v>527304</v>
      </c>
      <c r="CW24">
        <v>509668</v>
      </c>
      <c r="CX24">
        <v>497205</v>
      </c>
      <c r="CY24">
        <v>486394</v>
      </c>
      <c r="CZ24">
        <v>468577</v>
      </c>
    </row>
    <row r="25" spans="1:104" x14ac:dyDescent="0.3">
      <c r="A25" t="s">
        <v>12</v>
      </c>
      <c r="B25" t="s">
        <v>13</v>
      </c>
      <c r="C25" t="s">
        <v>27</v>
      </c>
      <c r="D25">
        <v>99126</v>
      </c>
      <c r="E25">
        <v>105771</v>
      </c>
      <c r="F25">
        <v>113017</v>
      </c>
      <c r="G25">
        <v>118749</v>
      </c>
      <c r="H25">
        <v>127344</v>
      </c>
      <c r="I25">
        <v>134464</v>
      </c>
      <c r="J25">
        <v>142001</v>
      </c>
      <c r="K25">
        <v>158739</v>
      </c>
      <c r="L25">
        <v>171623</v>
      </c>
      <c r="M25">
        <v>182103</v>
      </c>
      <c r="N25">
        <v>191160</v>
      </c>
      <c r="O25">
        <v>198779</v>
      </c>
      <c r="P25">
        <v>200093</v>
      </c>
      <c r="Q25">
        <v>206162</v>
      </c>
      <c r="R25">
        <v>214257</v>
      </c>
      <c r="S25">
        <v>227086</v>
      </c>
      <c r="T25">
        <v>245455</v>
      </c>
      <c r="U25">
        <v>263430</v>
      </c>
      <c r="V25">
        <v>276956</v>
      </c>
      <c r="W25">
        <v>292469</v>
      </c>
      <c r="X25">
        <v>312353</v>
      </c>
      <c r="Y25">
        <v>328180</v>
      </c>
      <c r="Z25">
        <v>342974</v>
      </c>
      <c r="AA25">
        <v>361512</v>
      </c>
      <c r="AB25">
        <v>374358</v>
      </c>
      <c r="AC25">
        <v>380492</v>
      </c>
      <c r="AD25">
        <v>379841</v>
      </c>
      <c r="AE25">
        <v>372322</v>
      </c>
      <c r="AF25">
        <v>359898</v>
      </c>
      <c r="AG25">
        <v>346812</v>
      </c>
      <c r="AH25">
        <v>333391</v>
      </c>
      <c r="AI25">
        <v>323539</v>
      </c>
      <c r="AJ25">
        <v>322139</v>
      </c>
      <c r="AK25">
        <v>324142</v>
      </c>
      <c r="AL25">
        <v>330091</v>
      </c>
      <c r="AM25">
        <v>339262</v>
      </c>
      <c r="AN25">
        <v>349809</v>
      </c>
      <c r="AO25">
        <v>355601</v>
      </c>
      <c r="AP25">
        <v>362704</v>
      </c>
      <c r="AQ25">
        <v>364463</v>
      </c>
      <c r="AR25">
        <v>351553</v>
      </c>
      <c r="AS25">
        <v>345490</v>
      </c>
      <c r="AT25">
        <v>356836</v>
      </c>
      <c r="AU25">
        <v>378513</v>
      </c>
      <c r="AV25">
        <v>413584</v>
      </c>
      <c r="AW25">
        <v>466819</v>
      </c>
      <c r="AX25">
        <v>533682</v>
      </c>
      <c r="AY25">
        <v>582609</v>
      </c>
      <c r="AZ25">
        <v>622955</v>
      </c>
      <c r="BA25" s="3">
        <v>655667</v>
      </c>
      <c r="BB25" s="3">
        <v>687090</v>
      </c>
      <c r="BC25">
        <v>696974</v>
      </c>
      <c r="BD25">
        <v>706423</v>
      </c>
      <c r="BE25">
        <v>729215</v>
      </c>
      <c r="BF25">
        <v>746500</v>
      </c>
      <c r="BG25">
        <v>754764</v>
      </c>
      <c r="BH25">
        <v>763428</v>
      </c>
      <c r="BI25">
        <v>779483</v>
      </c>
      <c r="BJ25">
        <v>790482</v>
      </c>
      <c r="BK25">
        <v>795194</v>
      </c>
      <c r="BL25">
        <v>795173</v>
      </c>
      <c r="BM25">
        <v>795459</v>
      </c>
      <c r="BN25">
        <v>783485</v>
      </c>
      <c r="BO25">
        <v>777130</v>
      </c>
      <c r="BP25">
        <v>772758</v>
      </c>
      <c r="BQ25">
        <v>770715</v>
      </c>
      <c r="BR25">
        <v>762718</v>
      </c>
      <c r="BS25">
        <v>759228</v>
      </c>
      <c r="BT25">
        <v>750085</v>
      </c>
      <c r="BU25">
        <v>741304</v>
      </c>
      <c r="BV25">
        <v>735591</v>
      </c>
      <c r="BW25">
        <v>759456</v>
      </c>
      <c r="BX25">
        <v>773079</v>
      </c>
      <c r="BY25">
        <v>794922</v>
      </c>
      <c r="BZ25">
        <v>821797</v>
      </c>
      <c r="CA25">
        <v>841662</v>
      </c>
      <c r="CB25">
        <v>841078</v>
      </c>
      <c r="CC25">
        <v>849961</v>
      </c>
      <c r="CD25">
        <v>841411</v>
      </c>
      <c r="CE25">
        <v>823673</v>
      </c>
      <c r="CF25">
        <v>798963</v>
      </c>
      <c r="CG25">
        <v>755725</v>
      </c>
      <c r="CH25">
        <v>721630</v>
      </c>
      <c r="CI25">
        <v>710445</v>
      </c>
      <c r="CJ25" s="5">
        <v>690413</v>
      </c>
      <c r="CK25">
        <v>693414</v>
      </c>
      <c r="CL25">
        <v>704318</v>
      </c>
      <c r="CM25">
        <v>711739</v>
      </c>
      <c r="CN25">
        <v>707402</v>
      </c>
      <c r="CO25">
        <v>714505</v>
      </c>
      <c r="CP25">
        <v>710796</v>
      </c>
      <c r="CQ25">
        <v>713535</v>
      </c>
      <c r="CR25">
        <v>716207</v>
      </c>
      <c r="CS25">
        <v>691989</v>
      </c>
      <c r="CT25">
        <v>676562</v>
      </c>
      <c r="CU25">
        <v>671449</v>
      </c>
      <c r="CV25">
        <v>643989</v>
      </c>
      <c r="CW25">
        <v>611852</v>
      </c>
      <c r="CX25">
        <v>595456</v>
      </c>
      <c r="CY25">
        <v>568236</v>
      </c>
      <c r="CZ25">
        <v>526062</v>
      </c>
    </row>
    <row r="26" spans="1:104" x14ac:dyDescent="0.3">
      <c r="A26" t="s">
        <v>12</v>
      </c>
      <c r="B26" t="s">
        <v>13</v>
      </c>
      <c r="C26" t="s">
        <v>28</v>
      </c>
      <c r="D26">
        <v>55176</v>
      </c>
      <c r="E26">
        <v>59001</v>
      </c>
      <c r="F26">
        <v>63902</v>
      </c>
      <c r="G26">
        <v>66822</v>
      </c>
      <c r="H26">
        <v>71574</v>
      </c>
      <c r="I26">
        <v>77258</v>
      </c>
      <c r="J26">
        <v>82682</v>
      </c>
      <c r="K26">
        <v>88090</v>
      </c>
      <c r="L26">
        <v>93285</v>
      </c>
      <c r="M26">
        <v>101025</v>
      </c>
      <c r="N26">
        <v>106484</v>
      </c>
      <c r="O26">
        <v>113684</v>
      </c>
      <c r="P26">
        <v>128338</v>
      </c>
      <c r="Q26">
        <v>139163</v>
      </c>
      <c r="R26">
        <v>148949</v>
      </c>
      <c r="S26">
        <v>155872</v>
      </c>
      <c r="T26">
        <v>162316</v>
      </c>
      <c r="U26">
        <v>165291</v>
      </c>
      <c r="V26">
        <v>171685</v>
      </c>
      <c r="W26">
        <v>177106</v>
      </c>
      <c r="X26">
        <v>188119</v>
      </c>
      <c r="Y26">
        <v>205323</v>
      </c>
      <c r="Z26">
        <v>219690</v>
      </c>
      <c r="AA26">
        <v>232766</v>
      </c>
      <c r="AB26">
        <v>247589</v>
      </c>
      <c r="AC26">
        <v>264749</v>
      </c>
      <c r="AD26">
        <v>277751</v>
      </c>
      <c r="AE26">
        <v>292130</v>
      </c>
      <c r="AF26">
        <v>308800</v>
      </c>
      <c r="AG26">
        <v>320675</v>
      </c>
      <c r="AH26">
        <v>326658</v>
      </c>
      <c r="AI26">
        <v>326319</v>
      </c>
      <c r="AJ26">
        <v>320449</v>
      </c>
      <c r="AK26">
        <v>309833</v>
      </c>
      <c r="AL26">
        <v>299144</v>
      </c>
      <c r="AM26">
        <v>288316</v>
      </c>
      <c r="AN26">
        <v>281052</v>
      </c>
      <c r="AO26">
        <v>280289</v>
      </c>
      <c r="AP26">
        <v>282905</v>
      </c>
      <c r="AQ26">
        <v>289278</v>
      </c>
      <c r="AR26">
        <v>298770</v>
      </c>
      <c r="AS26">
        <v>308671</v>
      </c>
      <c r="AT26">
        <v>315219</v>
      </c>
      <c r="AU26">
        <v>322248</v>
      </c>
      <c r="AV26">
        <v>324075</v>
      </c>
      <c r="AW26">
        <v>313098</v>
      </c>
      <c r="AX26">
        <v>307929</v>
      </c>
      <c r="AY26">
        <v>318877</v>
      </c>
      <c r="AZ26">
        <v>339426</v>
      </c>
      <c r="BA26" s="3">
        <v>372358</v>
      </c>
      <c r="BB26" s="3">
        <v>420487</v>
      </c>
      <c r="BC26">
        <v>476519</v>
      </c>
      <c r="BD26">
        <v>518346</v>
      </c>
      <c r="BE26">
        <v>560094</v>
      </c>
      <c r="BF26">
        <v>589929</v>
      </c>
      <c r="BG26">
        <v>617110</v>
      </c>
      <c r="BH26">
        <v>631374</v>
      </c>
      <c r="BI26">
        <v>641635</v>
      </c>
      <c r="BJ26">
        <v>656398</v>
      </c>
      <c r="BK26">
        <v>671279</v>
      </c>
      <c r="BL26">
        <v>680320</v>
      </c>
      <c r="BM26">
        <v>688614</v>
      </c>
      <c r="BN26">
        <v>703414</v>
      </c>
      <c r="BO26">
        <v>713943</v>
      </c>
      <c r="BP26">
        <v>718905</v>
      </c>
      <c r="BQ26">
        <v>719542</v>
      </c>
      <c r="BR26">
        <v>720506</v>
      </c>
      <c r="BS26">
        <v>710233</v>
      </c>
      <c r="BT26">
        <v>705292</v>
      </c>
      <c r="BU26">
        <v>702125</v>
      </c>
      <c r="BV26">
        <v>701015</v>
      </c>
      <c r="BW26">
        <v>694458</v>
      </c>
      <c r="BX26">
        <v>691754</v>
      </c>
      <c r="BY26">
        <v>684076</v>
      </c>
      <c r="BZ26">
        <v>676768</v>
      </c>
      <c r="CA26">
        <v>672320</v>
      </c>
      <c r="CB26">
        <v>695211</v>
      </c>
      <c r="CC26">
        <v>708257</v>
      </c>
      <c r="CD26">
        <v>728932</v>
      </c>
      <c r="CE26">
        <v>754175</v>
      </c>
      <c r="CF26">
        <v>772827</v>
      </c>
      <c r="CG26">
        <v>773124</v>
      </c>
      <c r="CH26">
        <v>781783</v>
      </c>
      <c r="CI26">
        <v>774419</v>
      </c>
      <c r="CJ26" s="5">
        <v>758681</v>
      </c>
      <c r="CK26">
        <v>736367</v>
      </c>
      <c r="CL26">
        <v>696941</v>
      </c>
      <c r="CM26">
        <v>666137</v>
      </c>
      <c r="CN26">
        <v>656672</v>
      </c>
      <c r="CO26">
        <v>638823</v>
      </c>
      <c r="CP26">
        <v>642345</v>
      </c>
      <c r="CQ26">
        <v>652808</v>
      </c>
      <c r="CR26">
        <v>660089</v>
      </c>
      <c r="CS26">
        <v>656684</v>
      </c>
      <c r="CT26">
        <v>663692</v>
      </c>
      <c r="CU26">
        <v>660824</v>
      </c>
      <c r="CV26">
        <v>663855</v>
      </c>
      <c r="CW26">
        <v>666831</v>
      </c>
      <c r="CX26">
        <v>644500</v>
      </c>
      <c r="CY26">
        <v>630556</v>
      </c>
      <c r="CZ26">
        <v>626399</v>
      </c>
    </row>
    <row r="27" spans="1:104" x14ac:dyDescent="0.3">
      <c r="A27" t="s">
        <v>12</v>
      </c>
      <c r="B27" t="s">
        <v>13</v>
      </c>
      <c r="C27" t="s">
        <v>29</v>
      </c>
      <c r="D27">
        <v>25421</v>
      </c>
      <c r="E27">
        <v>27069</v>
      </c>
      <c r="F27">
        <v>28915</v>
      </c>
      <c r="G27">
        <v>31941</v>
      </c>
      <c r="H27">
        <v>34028</v>
      </c>
      <c r="I27">
        <v>36793</v>
      </c>
      <c r="J27">
        <v>40044</v>
      </c>
      <c r="K27">
        <v>43324</v>
      </c>
      <c r="L27">
        <v>45738</v>
      </c>
      <c r="M27">
        <v>49275</v>
      </c>
      <c r="N27">
        <v>53474</v>
      </c>
      <c r="O27">
        <v>58037</v>
      </c>
      <c r="P27">
        <v>62450</v>
      </c>
      <c r="Q27">
        <v>65714</v>
      </c>
      <c r="R27">
        <v>71605</v>
      </c>
      <c r="S27">
        <v>76784</v>
      </c>
      <c r="T27">
        <v>81030</v>
      </c>
      <c r="U27">
        <v>92604</v>
      </c>
      <c r="V27">
        <v>100312</v>
      </c>
      <c r="W27">
        <v>107237</v>
      </c>
      <c r="X27">
        <v>113229</v>
      </c>
      <c r="Y27">
        <v>120044</v>
      </c>
      <c r="Z27">
        <v>123100</v>
      </c>
      <c r="AA27">
        <v>128111</v>
      </c>
      <c r="AB27">
        <v>134194</v>
      </c>
      <c r="AC27">
        <v>143043</v>
      </c>
      <c r="AD27">
        <v>155747</v>
      </c>
      <c r="AE27">
        <v>167889</v>
      </c>
      <c r="AF27">
        <v>179024</v>
      </c>
      <c r="AG27">
        <v>190909</v>
      </c>
      <c r="AH27">
        <v>205981</v>
      </c>
      <c r="AI27">
        <v>218110</v>
      </c>
      <c r="AJ27">
        <v>230394</v>
      </c>
      <c r="AK27">
        <v>244424</v>
      </c>
      <c r="AL27">
        <v>254807</v>
      </c>
      <c r="AM27">
        <v>260601</v>
      </c>
      <c r="AN27">
        <v>262137</v>
      </c>
      <c r="AO27">
        <v>258048</v>
      </c>
      <c r="AP27">
        <v>250143</v>
      </c>
      <c r="AQ27">
        <v>242555</v>
      </c>
      <c r="AR27">
        <v>234614</v>
      </c>
      <c r="AS27">
        <v>229209</v>
      </c>
      <c r="AT27">
        <v>229340</v>
      </c>
      <c r="AU27">
        <v>232756</v>
      </c>
      <c r="AV27">
        <v>239096</v>
      </c>
      <c r="AW27">
        <v>247645</v>
      </c>
      <c r="AX27">
        <v>256390</v>
      </c>
      <c r="AY27">
        <v>262498</v>
      </c>
      <c r="AZ27">
        <v>268919</v>
      </c>
      <c r="BA27" s="3">
        <v>271662</v>
      </c>
      <c r="BB27" s="3">
        <v>262423</v>
      </c>
      <c r="BC27">
        <v>256442</v>
      </c>
      <c r="BD27">
        <v>264996</v>
      </c>
      <c r="BE27">
        <v>285379</v>
      </c>
      <c r="BF27">
        <v>314904</v>
      </c>
      <c r="BG27">
        <v>354595</v>
      </c>
      <c r="BH27">
        <v>405878</v>
      </c>
      <c r="BI27">
        <v>442798</v>
      </c>
      <c r="BJ27">
        <v>473708</v>
      </c>
      <c r="BK27">
        <v>498474</v>
      </c>
      <c r="BL27">
        <v>523829</v>
      </c>
      <c r="BM27">
        <v>537064</v>
      </c>
      <c r="BN27">
        <v>546519</v>
      </c>
      <c r="BO27">
        <v>559781</v>
      </c>
      <c r="BP27">
        <v>573395</v>
      </c>
      <c r="BQ27">
        <v>582208</v>
      </c>
      <c r="BR27">
        <v>590412</v>
      </c>
      <c r="BS27">
        <v>603950</v>
      </c>
      <c r="BT27">
        <v>613960</v>
      </c>
      <c r="BU27">
        <v>619166</v>
      </c>
      <c r="BV27">
        <v>620580</v>
      </c>
      <c r="BW27">
        <v>622340</v>
      </c>
      <c r="BX27">
        <v>614220</v>
      </c>
      <c r="BY27">
        <v>611022</v>
      </c>
      <c r="BZ27">
        <v>609353</v>
      </c>
      <c r="CA27">
        <v>609392</v>
      </c>
      <c r="CB27">
        <v>604665</v>
      </c>
      <c r="CC27">
        <v>602910</v>
      </c>
      <c r="CD27">
        <v>597078</v>
      </c>
      <c r="CE27">
        <v>591639</v>
      </c>
      <c r="CF27">
        <v>588806</v>
      </c>
      <c r="CG27">
        <v>610339</v>
      </c>
      <c r="CH27">
        <v>622631</v>
      </c>
      <c r="CI27">
        <v>641707</v>
      </c>
      <c r="CJ27" s="5">
        <v>664731</v>
      </c>
      <c r="CK27">
        <v>681697</v>
      </c>
      <c r="CL27">
        <v>683120</v>
      </c>
      <c r="CM27">
        <v>691411</v>
      </c>
      <c r="CN27">
        <v>685554</v>
      </c>
      <c r="CO27">
        <v>672402</v>
      </c>
      <c r="CP27">
        <v>653198</v>
      </c>
      <c r="CQ27">
        <v>618767</v>
      </c>
      <c r="CR27">
        <v>592267</v>
      </c>
      <c r="CS27">
        <v>585060</v>
      </c>
      <c r="CT27">
        <v>570149</v>
      </c>
      <c r="CU27">
        <v>574357</v>
      </c>
      <c r="CV27">
        <v>584200</v>
      </c>
      <c r="CW27">
        <v>591230</v>
      </c>
      <c r="CX27">
        <v>589060</v>
      </c>
      <c r="CY27">
        <v>595894</v>
      </c>
      <c r="CZ27">
        <v>594141</v>
      </c>
    </row>
    <row r="28" spans="1:104" x14ac:dyDescent="0.3">
      <c r="A28" t="s">
        <v>12</v>
      </c>
      <c r="B28" t="s">
        <v>13</v>
      </c>
      <c r="C28" t="s">
        <v>30</v>
      </c>
      <c r="D28">
        <v>13883</v>
      </c>
      <c r="E28">
        <v>10693</v>
      </c>
      <c r="F28">
        <v>11486</v>
      </c>
      <c r="G28">
        <v>12164</v>
      </c>
      <c r="H28">
        <v>12809</v>
      </c>
      <c r="I28">
        <v>13858</v>
      </c>
      <c r="J28">
        <v>14983</v>
      </c>
      <c r="K28">
        <v>15892</v>
      </c>
      <c r="L28">
        <v>17881</v>
      </c>
      <c r="M28">
        <v>19285</v>
      </c>
      <c r="N28">
        <v>21252</v>
      </c>
      <c r="O28">
        <v>23135</v>
      </c>
      <c r="P28">
        <v>25413</v>
      </c>
      <c r="Q28">
        <v>27141</v>
      </c>
      <c r="R28">
        <v>29701</v>
      </c>
      <c r="S28">
        <v>32800</v>
      </c>
      <c r="T28">
        <v>34638</v>
      </c>
      <c r="U28">
        <v>37690</v>
      </c>
      <c r="V28">
        <v>39687</v>
      </c>
      <c r="W28">
        <v>43202</v>
      </c>
      <c r="X28">
        <v>45807</v>
      </c>
      <c r="Y28">
        <v>49856</v>
      </c>
      <c r="Z28">
        <v>58049</v>
      </c>
      <c r="AA28">
        <v>64618</v>
      </c>
      <c r="AB28">
        <v>70333</v>
      </c>
      <c r="AC28">
        <v>74364</v>
      </c>
      <c r="AD28">
        <v>77128</v>
      </c>
      <c r="AE28">
        <v>79065</v>
      </c>
      <c r="AF28">
        <v>82971</v>
      </c>
      <c r="AG28">
        <v>87710</v>
      </c>
      <c r="AH28">
        <v>94920</v>
      </c>
      <c r="AI28">
        <v>105011</v>
      </c>
      <c r="AJ28">
        <v>114146</v>
      </c>
      <c r="AK28">
        <v>122381</v>
      </c>
      <c r="AL28">
        <v>131554</v>
      </c>
      <c r="AM28">
        <v>143274</v>
      </c>
      <c r="AN28">
        <v>153915</v>
      </c>
      <c r="AO28">
        <v>163045</v>
      </c>
      <c r="AP28">
        <v>173879</v>
      </c>
      <c r="AQ28">
        <v>182732</v>
      </c>
      <c r="AR28">
        <v>188509</v>
      </c>
      <c r="AS28">
        <v>189644</v>
      </c>
      <c r="AT28">
        <v>187308</v>
      </c>
      <c r="AU28">
        <v>182091</v>
      </c>
      <c r="AV28">
        <v>176602</v>
      </c>
      <c r="AW28">
        <v>171347</v>
      </c>
      <c r="AX28">
        <v>167699</v>
      </c>
      <c r="AY28">
        <v>168622</v>
      </c>
      <c r="AZ28">
        <v>171621</v>
      </c>
      <c r="BA28" s="3">
        <v>177638</v>
      </c>
      <c r="BB28" s="3">
        <v>185500</v>
      </c>
      <c r="BC28">
        <v>192117</v>
      </c>
      <c r="BD28">
        <v>195255</v>
      </c>
      <c r="BE28">
        <v>201014</v>
      </c>
      <c r="BF28">
        <v>203244</v>
      </c>
      <c r="BG28">
        <v>196382</v>
      </c>
      <c r="BH28">
        <v>194085</v>
      </c>
      <c r="BI28">
        <v>203155</v>
      </c>
      <c r="BJ28">
        <v>217761</v>
      </c>
      <c r="BK28">
        <v>240662</v>
      </c>
      <c r="BL28">
        <v>272742</v>
      </c>
      <c r="BM28">
        <v>312863</v>
      </c>
      <c r="BN28">
        <v>341822</v>
      </c>
      <c r="BO28">
        <v>366118</v>
      </c>
      <c r="BP28">
        <v>385847</v>
      </c>
      <c r="BQ28">
        <v>406281</v>
      </c>
      <c r="BR28">
        <v>417828</v>
      </c>
      <c r="BS28">
        <v>426008</v>
      </c>
      <c r="BT28">
        <v>437348</v>
      </c>
      <c r="BU28">
        <v>449062</v>
      </c>
      <c r="BV28">
        <v>457230</v>
      </c>
      <c r="BW28">
        <v>464944</v>
      </c>
      <c r="BX28">
        <v>476589</v>
      </c>
      <c r="BY28">
        <v>485614</v>
      </c>
      <c r="BZ28">
        <v>490816</v>
      </c>
      <c r="CA28">
        <v>492938</v>
      </c>
      <c r="CB28">
        <v>495427</v>
      </c>
      <c r="CC28">
        <v>489829</v>
      </c>
      <c r="CD28">
        <v>488567</v>
      </c>
      <c r="CE28">
        <v>488508</v>
      </c>
      <c r="CF28">
        <v>489728</v>
      </c>
      <c r="CG28">
        <v>487067</v>
      </c>
      <c r="CH28">
        <v>486349</v>
      </c>
      <c r="CI28">
        <v>482676</v>
      </c>
      <c r="CJ28" s="5">
        <v>479413</v>
      </c>
      <c r="CK28">
        <v>478393</v>
      </c>
      <c r="CL28">
        <v>497738</v>
      </c>
      <c r="CM28">
        <v>508737</v>
      </c>
      <c r="CN28">
        <v>525415</v>
      </c>
      <c r="CO28">
        <v>545243</v>
      </c>
      <c r="CP28">
        <v>559795</v>
      </c>
      <c r="CQ28">
        <v>562387</v>
      </c>
      <c r="CR28">
        <v>569981</v>
      </c>
      <c r="CS28">
        <v>565937</v>
      </c>
      <c r="CT28">
        <v>556033</v>
      </c>
      <c r="CU28">
        <v>540840</v>
      </c>
      <c r="CV28">
        <v>512975</v>
      </c>
      <c r="CW28">
        <v>492082</v>
      </c>
      <c r="CX28">
        <v>487651</v>
      </c>
      <c r="CY28">
        <v>476442</v>
      </c>
      <c r="CZ28">
        <v>481308</v>
      </c>
    </row>
    <row r="29" spans="1:104" x14ac:dyDescent="0.3">
      <c r="A29" t="s">
        <v>12</v>
      </c>
      <c r="B29" t="s">
        <v>13</v>
      </c>
      <c r="C29" t="s">
        <v>31</v>
      </c>
      <c r="D29" t="s">
        <v>32</v>
      </c>
      <c r="E29">
        <v>3925</v>
      </c>
      <c r="F29">
        <v>4535</v>
      </c>
      <c r="G29">
        <v>4698</v>
      </c>
      <c r="H29">
        <v>4959</v>
      </c>
      <c r="I29">
        <v>4173</v>
      </c>
      <c r="J29">
        <v>4469</v>
      </c>
      <c r="K29">
        <v>4816</v>
      </c>
      <c r="L29">
        <v>5082</v>
      </c>
      <c r="M29">
        <v>5576</v>
      </c>
      <c r="N29">
        <v>6289</v>
      </c>
      <c r="O29">
        <v>6803</v>
      </c>
      <c r="P29">
        <v>7173</v>
      </c>
      <c r="Q29">
        <v>8020</v>
      </c>
      <c r="R29">
        <v>8963</v>
      </c>
      <c r="S29">
        <v>10214</v>
      </c>
      <c r="T29">
        <v>10754</v>
      </c>
      <c r="U29">
        <v>11965</v>
      </c>
      <c r="V29">
        <v>12973</v>
      </c>
      <c r="W29">
        <v>14021</v>
      </c>
      <c r="X29">
        <v>15456</v>
      </c>
      <c r="Y29">
        <v>16909</v>
      </c>
      <c r="Z29">
        <v>18389</v>
      </c>
      <c r="AA29">
        <v>19452</v>
      </c>
      <c r="AB29">
        <v>21409</v>
      </c>
      <c r="AC29">
        <v>23301</v>
      </c>
      <c r="AD29">
        <v>25113</v>
      </c>
      <c r="AE29">
        <v>29977</v>
      </c>
      <c r="AF29">
        <v>33535</v>
      </c>
      <c r="AG29">
        <v>36476</v>
      </c>
      <c r="AH29">
        <v>38710</v>
      </c>
      <c r="AI29">
        <v>41096</v>
      </c>
      <c r="AJ29">
        <v>42843</v>
      </c>
      <c r="AK29">
        <v>45323</v>
      </c>
      <c r="AL29">
        <v>48850</v>
      </c>
      <c r="AM29">
        <v>53381</v>
      </c>
      <c r="AN29">
        <v>60585</v>
      </c>
      <c r="AO29">
        <v>65869</v>
      </c>
      <c r="AP29">
        <v>70921</v>
      </c>
      <c r="AQ29">
        <v>76946</v>
      </c>
      <c r="AR29">
        <v>85006</v>
      </c>
      <c r="AS29">
        <v>92019</v>
      </c>
      <c r="AT29">
        <v>98577</v>
      </c>
      <c r="AU29">
        <v>105360</v>
      </c>
      <c r="AV29">
        <v>110329</v>
      </c>
      <c r="AW29">
        <v>114167</v>
      </c>
      <c r="AX29">
        <v>114543</v>
      </c>
      <c r="AY29">
        <v>113012</v>
      </c>
      <c r="AZ29">
        <v>109888</v>
      </c>
      <c r="BA29" s="3">
        <v>106901</v>
      </c>
      <c r="BB29" s="3">
        <v>104537</v>
      </c>
      <c r="BC29">
        <v>102595</v>
      </c>
      <c r="BD29">
        <v>101502</v>
      </c>
      <c r="BE29">
        <v>103398</v>
      </c>
      <c r="BF29">
        <v>107645</v>
      </c>
      <c r="BG29">
        <v>114827</v>
      </c>
      <c r="BH29">
        <v>120778</v>
      </c>
      <c r="BI29">
        <v>125059</v>
      </c>
      <c r="BJ29">
        <v>129221</v>
      </c>
      <c r="BK29">
        <v>130949</v>
      </c>
      <c r="BL29">
        <v>126883</v>
      </c>
      <c r="BM29">
        <v>125973</v>
      </c>
      <c r="BN29">
        <v>133032</v>
      </c>
      <c r="BO29">
        <v>143943</v>
      </c>
      <c r="BP29">
        <v>160324</v>
      </c>
      <c r="BQ29">
        <v>182127</v>
      </c>
      <c r="BR29">
        <v>209546</v>
      </c>
      <c r="BS29">
        <v>229348</v>
      </c>
      <c r="BT29">
        <v>245984</v>
      </c>
      <c r="BU29">
        <v>259744</v>
      </c>
      <c r="BV29">
        <v>274246</v>
      </c>
      <c r="BW29">
        <v>283283</v>
      </c>
      <c r="BX29">
        <v>289562</v>
      </c>
      <c r="BY29">
        <v>298217</v>
      </c>
      <c r="BZ29">
        <v>307243</v>
      </c>
      <c r="CA29">
        <v>314072</v>
      </c>
      <c r="CB29">
        <v>320622</v>
      </c>
      <c r="CC29">
        <v>329608</v>
      </c>
      <c r="CD29">
        <v>336987</v>
      </c>
      <c r="CE29">
        <v>341703</v>
      </c>
      <c r="CF29">
        <v>344202</v>
      </c>
      <c r="CG29">
        <v>347083</v>
      </c>
      <c r="CH29">
        <v>344044</v>
      </c>
      <c r="CI29">
        <v>344542</v>
      </c>
      <c r="CJ29" s="5">
        <v>345867</v>
      </c>
      <c r="CK29">
        <v>347993</v>
      </c>
      <c r="CL29">
        <v>347303</v>
      </c>
      <c r="CM29">
        <v>347494</v>
      </c>
      <c r="CN29">
        <v>345971</v>
      </c>
      <c r="CO29">
        <v>344847</v>
      </c>
      <c r="CP29">
        <v>345496</v>
      </c>
      <c r="CQ29">
        <v>361541</v>
      </c>
      <c r="CR29">
        <v>370532</v>
      </c>
      <c r="CS29">
        <v>383836</v>
      </c>
      <c r="CT29">
        <v>399350</v>
      </c>
      <c r="CU29">
        <v>410637</v>
      </c>
      <c r="CV29">
        <v>414078</v>
      </c>
      <c r="CW29">
        <v>420449</v>
      </c>
      <c r="CX29">
        <v>418276</v>
      </c>
      <c r="CY29">
        <v>411979</v>
      </c>
      <c r="CZ29">
        <v>401434</v>
      </c>
    </row>
    <row r="30" spans="1:104" x14ac:dyDescent="0.3">
      <c r="A30" t="s">
        <v>12</v>
      </c>
      <c r="B30" t="s">
        <v>13</v>
      </c>
      <c r="C30" t="s">
        <v>33</v>
      </c>
      <c r="D30" t="s">
        <v>32</v>
      </c>
      <c r="E30" t="s">
        <v>32</v>
      </c>
      <c r="F30" t="s">
        <v>32</v>
      </c>
      <c r="G30" t="s">
        <v>32</v>
      </c>
      <c r="H30" t="s">
        <v>32</v>
      </c>
      <c r="I30">
        <v>1034</v>
      </c>
      <c r="J30">
        <v>1027</v>
      </c>
      <c r="K30">
        <v>1116</v>
      </c>
      <c r="L30">
        <v>1194</v>
      </c>
      <c r="M30">
        <v>1311</v>
      </c>
      <c r="N30">
        <v>1427</v>
      </c>
      <c r="O30">
        <v>1517</v>
      </c>
      <c r="P30">
        <v>1729</v>
      </c>
      <c r="Q30">
        <v>1867</v>
      </c>
      <c r="R30">
        <v>2052</v>
      </c>
      <c r="S30">
        <v>2325</v>
      </c>
      <c r="T30">
        <v>2420</v>
      </c>
      <c r="U30">
        <v>2681</v>
      </c>
      <c r="V30">
        <v>3046</v>
      </c>
      <c r="W30">
        <v>3292</v>
      </c>
      <c r="X30">
        <v>3521</v>
      </c>
      <c r="Y30">
        <v>4158</v>
      </c>
      <c r="Z30">
        <v>4186</v>
      </c>
      <c r="AA30">
        <v>4619</v>
      </c>
      <c r="AB30">
        <v>5198</v>
      </c>
      <c r="AC30">
        <v>5738</v>
      </c>
      <c r="AD30">
        <v>6278</v>
      </c>
      <c r="AE30">
        <v>6951</v>
      </c>
      <c r="AF30">
        <v>7485</v>
      </c>
      <c r="AG30">
        <v>8311</v>
      </c>
      <c r="AH30">
        <v>9168</v>
      </c>
      <c r="AI30">
        <v>10045</v>
      </c>
      <c r="AJ30">
        <v>12364</v>
      </c>
      <c r="AK30">
        <v>14162</v>
      </c>
      <c r="AL30">
        <v>15551</v>
      </c>
      <c r="AM30">
        <v>16760</v>
      </c>
      <c r="AN30">
        <v>18114</v>
      </c>
      <c r="AO30">
        <v>18087</v>
      </c>
      <c r="AP30">
        <v>19429</v>
      </c>
      <c r="AQ30">
        <v>21348</v>
      </c>
      <c r="AR30">
        <v>23822</v>
      </c>
      <c r="AS30">
        <v>26964</v>
      </c>
      <c r="AT30">
        <v>30022</v>
      </c>
      <c r="AU30">
        <v>32648</v>
      </c>
      <c r="AV30">
        <v>35264</v>
      </c>
      <c r="AW30">
        <v>39070</v>
      </c>
      <c r="AX30">
        <v>42154</v>
      </c>
      <c r="AY30">
        <v>44987</v>
      </c>
      <c r="AZ30">
        <v>48077</v>
      </c>
      <c r="BA30" s="3">
        <v>50353</v>
      </c>
      <c r="BB30" s="3">
        <v>52093</v>
      </c>
      <c r="BC30">
        <v>52177</v>
      </c>
      <c r="BD30">
        <v>49654</v>
      </c>
      <c r="BE30">
        <v>47217</v>
      </c>
      <c r="BF30">
        <v>45718</v>
      </c>
      <c r="BG30">
        <v>47131</v>
      </c>
      <c r="BH30">
        <v>47551</v>
      </c>
      <c r="BI30">
        <v>48982</v>
      </c>
      <c r="BJ30">
        <v>51064</v>
      </c>
      <c r="BK30">
        <v>54088</v>
      </c>
      <c r="BL30">
        <v>57441</v>
      </c>
      <c r="BM30">
        <v>60697</v>
      </c>
      <c r="BN30">
        <v>63036</v>
      </c>
      <c r="BO30">
        <v>65346</v>
      </c>
      <c r="BP30">
        <v>66436</v>
      </c>
      <c r="BQ30">
        <v>64372</v>
      </c>
      <c r="BR30">
        <v>64302</v>
      </c>
      <c r="BS30">
        <v>68810</v>
      </c>
      <c r="BT30">
        <v>75478</v>
      </c>
      <c r="BU30">
        <v>84980</v>
      </c>
      <c r="BV30">
        <v>96786</v>
      </c>
      <c r="BW30">
        <v>111787</v>
      </c>
      <c r="BX30">
        <v>122542</v>
      </c>
      <c r="BY30">
        <v>131556</v>
      </c>
      <c r="BZ30">
        <v>139180</v>
      </c>
      <c r="CA30">
        <v>147453</v>
      </c>
      <c r="CB30">
        <v>153259</v>
      </c>
      <c r="CC30">
        <v>157210</v>
      </c>
      <c r="CD30">
        <v>162745</v>
      </c>
      <c r="CE30">
        <v>168678</v>
      </c>
      <c r="CF30">
        <v>173695</v>
      </c>
      <c r="CG30">
        <v>178617</v>
      </c>
      <c r="CH30">
        <v>184696</v>
      </c>
      <c r="CI30">
        <v>190058</v>
      </c>
      <c r="CJ30" s="5">
        <v>193949</v>
      </c>
      <c r="CK30">
        <v>196460</v>
      </c>
      <c r="CL30">
        <v>199259</v>
      </c>
      <c r="CM30">
        <v>198402</v>
      </c>
      <c r="CN30">
        <v>200016</v>
      </c>
      <c r="CO30">
        <v>202069</v>
      </c>
      <c r="CP30">
        <v>204477</v>
      </c>
      <c r="CQ30">
        <v>205137</v>
      </c>
      <c r="CR30">
        <v>205888</v>
      </c>
      <c r="CS30">
        <v>205962</v>
      </c>
      <c r="CT30">
        <v>206366</v>
      </c>
      <c r="CU30">
        <v>207959</v>
      </c>
      <c r="CV30">
        <v>219443</v>
      </c>
      <c r="CW30">
        <v>225709</v>
      </c>
      <c r="CX30">
        <v>234871</v>
      </c>
      <c r="CY30">
        <v>245361</v>
      </c>
      <c r="CZ30">
        <v>252888</v>
      </c>
    </row>
    <row r="31" spans="1:104" x14ac:dyDescent="0.3">
      <c r="A31" t="s">
        <v>12</v>
      </c>
      <c r="B31" t="s">
        <v>13</v>
      </c>
      <c r="C31" t="s">
        <v>34</v>
      </c>
      <c r="D31" t="s">
        <v>32</v>
      </c>
      <c r="E31" t="s">
        <v>32</v>
      </c>
      <c r="F31" t="s">
        <v>32</v>
      </c>
      <c r="G31" t="s">
        <v>32</v>
      </c>
      <c r="H31" t="s">
        <v>32</v>
      </c>
      <c r="I31" t="s">
        <v>32</v>
      </c>
      <c r="J31" t="s">
        <v>32</v>
      </c>
      <c r="K31" t="s">
        <v>32</v>
      </c>
      <c r="L31" t="s">
        <v>32</v>
      </c>
      <c r="M31" t="s">
        <v>32</v>
      </c>
      <c r="N31" t="s">
        <v>32</v>
      </c>
      <c r="O31" t="s">
        <v>32</v>
      </c>
      <c r="P31" t="s">
        <v>32</v>
      </c>
      <c r="Q31" t="s">
        <v>32</v>
      </c>
      <c r="R31" t="s">
        <v>32</v>
      </c>
      <c r="S31" t="s">
        <v>32</v>
      </c>
      <c r="T31" t="s">
        <v>32</v>
      </c>
      <c r="U31" t="s">
        <v>32</v>
      </c>
      <c r="V31" t="s">
        <v>32</v>
      </c>
      <c r="W31" t="s">
        <v>32</v>
      </c>
      <c r="X31" t="s">
        <v>32</v>
      </c>
      <c r="Y31" t="s">
        <v>32</v>
      </c>
      <c r="Z31">
        <v>606</v>
      </c>
      <c r="AA31">
        <v>680</v>
      </c>
      <c r="AB31">
        <v>808</v>
      </c>
      <c r="AC31">
        <v>905</v>
      </c>
      <c r="AD31">
        <v>1078</v>
      </c>
      <c r="AE31">
        <v>1271</v>
      </c>
      <c r="AF31">
        <v>1423</v>
      </c>
      <c r="AG31">
        <v>1611</v>
      </c>
      <c r="AH31">
        <v>1807</v>
      </c>
      <c r="AI31">
        <v>1994</v>
      </c>
      <c r="AJ31">
        <v>2213</v>
      </c>
      <c r="AK31">
        <v>2421</v>
      </c>
      <c r="AL31">
        <v>2713</v>
      </c>
      <c r="AM31">
        <v>2944</v>
      </c>
      <c r="AN31">
        <v>3293</v>
      </c>
      <c r="AO31">
        <v>4120</v>
      </c>
      <c r="AP31">
        <v>4435</v>
      </c>
      <c r="AQ31">
        <v>4825</v>
      </c>
      <c r="AR31">
        <v>5201</v>
      </c>
      <c r="AS31">
        <v>5524</v>
      </c>
      <c r="AT31">
        <v>5752</v>
      </c>
      <c r="AU31">
        <v>6225</v>
      </c>
      <c r="AV31">
        <v>6771</v>
      </c>
      <c r="AW31">
        <v>7552</v>
      </c>
      <c r="AX31">
        <v>8597</v>
      </c>
      <c r="AY31">
        <v>9585</v>
      </c>
      <c r="AZ31">
        <v>10265</v>
      </c>
      <c r="BA31" s="3">
        <v>10985</v>
      </c>
      <c r="BB31" s="3">
        <v>12345</v>
      </c>
      <c r="BC31">
        <v>13336</v>
      </c>
      <c r="BD31">
        <v>13356</v>
      </c>
      <c r="BE31">
        <v>13627</v>
      </c>
      <c r="BF31">
        <v>13903</v>
      </c>
      <c r="BG31">
        <v>15094</v>
      </c>
      <c r="BH31">
        <v>15344</v>
      </c>
      <c r="BI31">
        <v>15305</v>
      </c>
      <c r="BJ31">
        <v>15076</v>
      </c>
      <c r="BK31">
        <v>15002</v>
      </c>
      <c r="BL31">
        <v>15165</v>
      </c>
      <c r="BM31">
        <v>15479</v>
      </c>
      <c r="BN31">
        <v>16117</v>
      </c>
      <c r="BO31">
        <v>16937</v>
      </c>
      <c r="BP31">
        <v>18094</v>
      </c>
      <c r="BQ31">
        <v>19366</v>
      </c>
      <c r="BR31">
        <v>20562</v>
      </c>
      <c r="BS31">
        <v>21404</v>
      </c>
      <c r="BT31">
        <v>22261</v>
      </c>
      <c r="BU31">
        <v>22703</v>
      </c>
      <c r="BV31">
        <v>21942</v>
      </c>
      <c r="BW31">
        <v>22103</v>
      </c>
      <c r="BX31">
        <v>24123</v>
      </c>
      <c r="BY31">
        <v>26938</v>
      </c>
      <c r="BZ31">
        <v>30718</v>
      </c>
      <c r="CA31">
        <v>35053</v>
      </c>
      <c r="CB31">
        <v>40724</v>
      </c>
      <c r="CC31">
        <v>44750</v>
      </c>
      <c r="CD31">
        <v>48217</v>
      </c>
      <c r="CE31">
        <v>51394</v>
      </c>
      <c r="CF31">
        <v>55113</v>
      </c>
      <c r="CG31">
        <v>58183</v>
      </c>
      <c r="CH31">
        <v>60380</v>
      </c>
      <c r="CI31">
        <v>63387</v>
      </c>
      <c r="CJ31" s="5">
        <v>66773</v>
      </c>
      <c r="CK31">
        <v>69859</v>
      </c>
      <c r="CL31">
        <v>72885</v>
      </c>
      <c r="CM31">
        <v>76243</v>
      </c>
      <c r="CN31">
        <v>79361</v>
      </c>
      <c r="CO31">
        <v>81764</v>
      </c>
      <c r="CP31">
        <v>83518</v>
      </c>
      <c r="CQ31">
        <v>85443</v>
      </c>
      <c r="CR31">
        <v>85610</v>
      </c>
      <c r="CS31">
        <v>87115</v>
      </c>
      <c r="CT31">
        <v>88769</v>
      </c>
      <c r="CU31">
        <v>90509</v>
      </c>
      <c r="CV31">
        <v>91340</v>
      </c>
      <c r="CW31">
        <v>91962</v>
      </c>
      <c r="CX31">
        <v>92619</v>
      </c>
      <c r="CY31">
        <v>93556</v>
      </c>
      <c r="CZ31">
        <v>95032</v>
      </c>
    </row>
    <row r="32" spans="1:104" x14ac:dyDescent="0.3">
      <c r="A32" t="s">
        <v>12</v>
      </c>
      <c r="B32" t="s">
        <v>13</v>
      </c>
      <c r="C32" t="s">
        <v>35</v>
      </c>
      <c r="D32" t="s">
        <v>32</v>
      </c>
      <c r="E32" t="s">
        <v>32</v>
      </c>
      <c r="F32" t="s">
        <v>32</v>
      </c>
      <c r="G32" t="s">
        <v>32</v>
      </c>
      <c r="H32" t="s">
        <v>32</v>
      </c>
      <c r="I32" t="s">
        <v>32</v>
      </c>
      <c r="J32" t="s">
        <v>32</v>
      </c>
      <c r="K32" t="s">
        <v>32</v>
      </c>
      <c r="L32" t="s">
        <v>32</v>
      </c>
      <c r="M32" t="s">
        <v>32</v>
      </c>
      <c r="N32" t="s">
        <v>32</v>
      </c>
      <c r="O32" t="s">
        <v>32</v>
      </c>
      <c r="P32" t="s">
        <v>32</v>
      </c>
      <c r="Q32" t="s">
        <v>32</v>
      </c>
      <c r="R32" t="s">
        <v>32</v>
      </c>
      <c r="S32" t="s">
        <v>32</v>
      </c>
      <c r="T32" t="s">
        <v>32</v>
      </c>
      <c r="U32" t="s">
        <v>32</v>
      </c>
      <c r="V32" t="s">
        <v>32</v>
      </c>
      <c r="W32" t="s">
        <v>32</v>
      </c>
      <c r="X32" t="s">
        <v>32</v>
      </c>
      <c r="Y32" t="s">
        <v>32</v>
      </c>
      <c r="Z32">
        <v>79</v>
      </c>
      <c r="AA32">
        <v>122</v>
      </c>
      <c r="AB32">
        <v>164</v>
      </c>
      <c r="AC32">
        <v>175</v>
      </c>
      <c r="AD32">
        <v>203</v>
      </c>
      <c r="AE32">
        <v>275</v>
      </c>
      <c r="AF32">
        <v>319</v>
      </c>
      <c r="AG32">
        <v>348</v>
      </c>
      <c r="AH32">
        <v>388</v>
      </c>
      <c r="AI32">
        <v>477</v>
      </c>
      <c r="AJ32">
        <v>606</v>
      </c>
      <c r="AK32">
        <v>682</v>
      </c>
      <c r="AL32">
        <v>786</v>
      </c>
      <c r="AM32">
        <v>884</v>
      </c>
      <c r="AN32">
        <v>1005</v>
      </c>
      <c r="AO32">
        <v>1005</v>
      </c>
      <c r="AP32">
        <v>931</v>
      </c>
      <c r="AQ32">
        <v>977</v>
      </c>
      <c r="AR32">
        <v>1036</v>
      </c>
      <c r="AS32">
        <v>1027</v>
      </c>
      <c r="AT32">
        <v>1315</v>
      </c>
      <c r="AU32">
        <v>1418</v>
      </c>
      <c r="AV32">
        <v>1452</v>
      </c>
      <c r="AW32">
        <v>1442</v>
      </c>
      <c r="AX32">
        <v>1404</v>
      </c>
      <c r="AY32">
        <v>1521</v>
      </c>
      <c r="AZ32">
        <v>1568</v>
      </c>
      <c r="BA32" s="3">
        <v>1687</v>
      </c>
      <c r="BB32" s="3">
        <v>1877</v>
      </c>
      <c r="BC32">
        <v>2099</v>
      </c>
      <c r="BD32">
        <v>2197</v>
      </c>
      <c r="BE32">
        <v>2148</v>
      </c>
      <c r="BF32">
        <v>2207</v>
      </c>
      <c r="BG32">
        <v>2089</v>
      </c>
      <c r="BH32">
        <v>2201</v>
      </c>
      <c r="BI32">
        <v>2290</v>
      </c>
      <c r="BJ32">
        <v>2397</v>
      </c>
      <c r="BK32">
        <v>2479</v>
      </c>
      <c r="BL32">
        <v>2587</v>
      </c>
      <c r="BM32">
        <v>2635</v>
      </c>
      <c r="BN32">
        <v>2629</v>
      </c>
      <c r="BO32">
        <v>2605</v>
      </c>
      <c r="BP32">
        <v>2627</v>
      </c>
      <c r="BQ32">
        <v>2707</v>
      </c>
      <c r="BR32">
        <v>2800</v>
      </c>
      <c r="BS32">
        <v>2943</v>
      </c>
      <c r="BT32">
        <v>3109</v>
      </c>
      <c r="BU32">
        <v>3348</v>
      </c>
      <c r="BV32">
        <v>3609</v>
      </c>
      <c r="BW32">
        <v>3841</v>
      </c>
      <c r="BX32">
        <v>4002</v>
      </c>
      <c r="BY32">
        <v>4186</v>
      </c>
      <c r="BZ32">
        <v>4296</v>
      </c>
      <c r="CA32">
        <v>4146</v>
      </c>
      <c r="CB32">
        <v>4270</v>
      </c>
      <c r="CC32">
        <v>4829</v>
      </c>
      <c r="CD32">
        <v>5536</v>
      </c>
      <c r="CE32">
        <v>6428</v>
      </c>
      <c r="CF32">
        <v>7377</v>
      </c>
      <c r="CG32">
        <v>8741</v>
      </c>
      <c r="CH32">
        <v>9765</v>
      </c>
      <c r="CI32">
        <v>10734</v>
      </c>
      <c r="CJ32" s="5">
        <v>11775</v>
      </c>
      <c r="CK32">
        <v>13034</v>
      </c>
      <c r="CL32">
        <v>14238</v>
      </c>
      <c r="CM32">
        <v>15107</v>
      </c>
      <c r="CN32">
        <v>16261</v>
      </c>
      <c r="CO32">
        <v>17501</v>
      </c>
      <c r="CP32">
        <v>18704</v>
      </c>
      <c r="CQ32">
        <v>19871</v>
      </c>
      <c r="CR32">
        <v>21039</v>
      </c>
      <c r="CS32">
        <v>22215</v>
      </c>
      <c r="CT32">
        <v>23187</v>
      </c>
      <c r="CU32">
        <v>23964</v>
      </c>
      <c r="CV32">
        <v>24812</v>
      </c>
      <c r="CW32">
        <v>25090</v>
      </c>
      <c r="CX32">
        <v>25976</v>
      </c>
      <c r="CY32">
        <v>26875</v>
      </c>
      <c r="CZ32">
        <v>27682</v>
      </c>
    </row>
    <row r="33" spans="1:104" x14ac:dyDescent="0.3">
      <c r="A33" t="s">
        <v>12</v>
      </c>
      <c r="B33" t="s">
        <v>36</v>
      </c>
      <c r="C33" t="s">
        <v>14</v>
      </c>
      <c r="D33">
        <v>914496</v>
      </c>
      <c r="E33">
        <v>897739</v>
      </c>
      <c r="F33">
        <v>897494</v>
      </c>
      <c r="G33">
        <v>887969</v>
      </c>
      <c r="H33">
        <v>873886</v>
      </c>
      <c r="I33">
        <v>869235</v>
      </c>
      <c r="J33">
        <v>887840</v>
      </c>
      <c r="K33">
        <v>902486</v>
      </c>
      <c r="L33">
        <v>924598</v>
      </c>
      <c r="M33">
        <v>950828</v>
      </c>
      <c r="N33">
        <v>965542</v>
      </c>
      <c r="O33">
        <v>964024</v>
      </c>
      <c r="P33">
        <v>970605</v>
      </c>
      <c r="Q33">
        <v>963365</v>
      </c>
      <c r="R33">
        <v>934241</v>
      </c>
      <c r="S33">
        <v>903718</v>
      </c>
      <c r="T33">
        <v>860449</v>
      </c>
      <c r="U33">
        <v>814610</v>
      </c>
      <c r="V33">
        <v>793019</v>
      </c>
      <c r="W33">
        <v>774313</v>
      </c>
      <c r="X33">
        <v>776979</v>
      </c>
      <c r="Y33">
        <v>779539</v>
      </c>
      <c r="Z33">
        <v>781019</v>
      </c>
      <c r="AA33">
        <v>775605</v>
      </c>
      <c r="AB33">
        <v>765620</v>
      </c>
      <c r="AC33">
        <v>761581</v>
      </c>
      <c r="AD33">
        <v>762568</v>
      </c>
      <c r="AE33">
        <v>767123</v>
      </c>
      <c r="AF33">
        <v>741136</v>
      </c>
      <c r="AG33">
        <v>722318</v>
      </c>
      <c r="AH33">
        <v>712544</v>
      </c>
      <c r="AI33">
        <v>682784</v>
      </c>
      <c r="AJ33">
        <v>646022</v>
      </c>
      <c r="AK33">
        <v>625729</v>
      </c>
      <c r="AL33">
        <v>593723</v>
      </c>
      <c r="AM33">
        <v>546269</v>
      </c>
      <c r="AN33">
        <v>521243</v>
      </c>
      <c r="AO33">
        <v>502024</v>
      </c>
      <c r="AP33">
        <v>489715</v>
      </c>
      <c r="AQ33">
        <v>479147</v>
      </c>
      <c r="AR33">
        <v>460693</v>
      </c>
      <c r="AS33">
        <v>458244</v>
      </c>
      <c r="AT33">
        <v>472124</v>
      </c>
      <c r="AU33">
        <v>474738</v>
      </c>
      <c r="AV33">
        <v>484246</v>
      </c>
      <c r="AW33">
        <v>507246</v>
      </c>
      <c r="AX33">
        <v>512414</v>
      </c>
      <c r="AY33">
        <v>492679</v>
      </c>
      <c r="AZ33">
        <v>486589</v>
      </c>
      <c r="BA33" s="3">
        <v>470062</v>
      </c>
      <c r="BB33" s="3">
        <v>445981</v>
      </c>
      <c r="BC33">
        <v>417465</v>
      </c>
      <c r="BD33">
        <v>391565</v>
      </c>
      <c r="BE33">
        <v>373923</v>
      </c>
      <c r="BF33">
        <v>355460</v>
      </c>
      <c r="BG33">
        <v>340197</v>
      </c>
      <c r="BH33">
        <v>326302</v>
      </c>
      <c r="BI33">
        <v>320686</v>
      </c>
      <c r="BJ33">
        <v>316579</v>
      </c>
      <c r="BK33">
        <v>307178</v>
      </c>
      <c r="BL33">
        <v>300636</v>
      </c>
      <c r="BM33">
        <v>294171</v>
      </c>
      <c r="BN33">
        <v>287867</v>
      </c>
      <c r="BO33">
        <v>282054</v>
      </c>
      <c r="BP33">
        <v>277266</v>
      </c>
      <c r="BQ33">
        <v>272797</v>
      </c>
      <c r="BR33">
        <v>268584</v>
      </c>
      <c r="BS33">
        <v>264558</v>
      </c>
      <c r="BT33">
        <v>260759</v>
      </c>
      <c r="BU33">
        <v>257089</v>
      </c>
      <c r="BV33">
        <v>253321</v>
      </c>
      <c r="BW33">
        <v>249502</v>
      </c>
      <c r="BX33">
        <v>245861</v>
      </c>
      <c r="BY33">
        <v>242383</v>
      </c>
      <c r="BZ33">
        <v>239069</v>
      </c>
      <c r="CA33">
        <v>236271</v>
      </c>
      <c r="CB33">
        <v>233909</v>
      </c>
      <c r="CC33">
        <v>231383</v>
      </c>
      <c r="CD33">
        <v>228506</v>
      </c>
      <c r="CE33">
        <v>225284</v>
      </c>
      <c r="CF33">
        <v>221615</v>
      </c>
      <c r="CG33">
        <v>217495</v>
      </c>
      <c r="CH33">
        <v>212910</v>
      </c>
      <c r="CI33">
        <v>207945</v>
      </c>
      <c r="CJ33" s="5">
        <v>202679</v>
      </c>
      <c r="CK33">
        <v>197133</v>
      </c>
      <c r="CL33">
        <v>191375</v>
      </c>
      <c r="CM33">
        <v>185758</v>
      </c>
      <c r="CN33">
        <v>180440</v>
      </c>
      <c r="CO33">
        <v>175364</v>
      </c>
      <c r="CP33">
        <v>170578</v>
      </c>
      <c r="CQ33">
        <v>166146</v>
      </c>
      <c r="CR33">
        <v>162129</v>
      </c>
      <c r="CS33">
        <v>158499</v>
      </c>
      <c r="CT33">
        <v>155209</v>
      </c>
      <c r="CU33">
        <v>152251</v>
      </c>
      <c r="CV33">
        <v>149600</v>
      </c>
      <c r="CW33">
        <v>147193</v>
      </c>
      <c r="CX33">
        <v>144947</v>
      </c>
      <c r="CY33">
        <v>142862</v>
      </c>
      <c r="CZ33">
        <v>140934</v>
      </c>
    </row>
    <row r="34" spans="1:104" x14ac:dyDescent="0.3">
      <c r="A34" t="s">
        <v>12</v>
      </c>
      <c r="B34" t="s">
        <v>36</v>
      </c>
      <c r="C34" t="s">
        <v>15</v>
      </c>
      <c r="D34">
        <v>974686</v>
      </c>
      <c r="E34">
        <v>973382</v>
      </c>
      <c r="F34">
        <v>964347</v>
      </c>
      <c r="G34">
        <v>950864</v>
      </c>
      <c r="H34">
        <v>943482</v>
      </c>
      <c r="I34">
        <v>935779</v>
      </c>
      <c r="J34">
        <v>925158</v>
      </c>
      <c r="K34">
        <v>919894</v>
      </c>
      <c r="L34">
        <v>904222</v>
      </c>
      <c r="M34">
        <v>892214</v>
      </c>
      <c r="N34">
        <v>882684</v>
      </c>
      <c r="O34">
        <v>905243</v>
      </c>
      <c r="P34">
        <v>919905</v>
      </c>
      <c r="Q34">
        <v>942793</v>
      </c>
      <c r="R34">
        <v>968824</v>
      </c>
      <c r="S34">
        <v>987352</v>
      </c>
      <c r="T34">
        <v>980525</v>
      </c>
      <c r="U34">
        <v>984054</v>
      </c>
      <c r="V34">
        <v>971695</v>
      </c>
      <c r="W34">
        <v>947898</v>
      </c>
      <c r="X34">
        <v>918758</v>
      </c>
      <c r="Y34">
        <v>869452</v>
      </c>
      <c r="Z34">
        <v>826454</v>
      </c>
      <c r="AA34">
        <v>806601</v>
      </c>
      <c r="AB34">
        <v>778439</v>
      </c>
      <c r="AC34">
        <v>768728</v>
      </c>
      <c r="AD34">
        <v>772574</v>
      </c>
      <c r="AE34">
        <v>777293</v>
      </c>
      <c r="AF34">
        <v>771031</v>
      </c>
      <c r="AG34">
        <v>776547</v>
      </c>
      <c r="AH34">
        <v>773385</v>
      </c>
      <c r="AI34">
        <v>776341</v>
      </c>
      <c r="AJ34">
        <v>778195</v>
      </c>
      <c r="AK34">
        <v>748799</v>
      </c>
      <c r="AL34">
        <v>729180</v>
      </c>
      <c r="AM34">
        <v>719557</v>
      </c>
      <c r="AN34">
        <v>688097</v>
      </c>
      <c r="AO34">
        <v>650560</v>
      </c>
      <c r="AP34">
        <v>630644</v>
      </c>
      <c r="AQ34">
        <v>599594</v>
      </c>
      <c r="AR34">
        <v>553071</v>
      </c>
      <c r="AS34">
        <v>528609</v>
      </c>
      <c r="AT34">
        <v>509463</v>
      </c>
      <c r="AU34">
        <v>496255</v>
      </c>
      <c r="AV34">
        <v>486111</v>
      </c>
      <c r="AW34">
        <v>467314</v>
      </c>
      <c r="AX34">
        <v>465155</v>
      </c>
      <c r="AY34">
        <v>481281</v>
      </c>
      <c r="AZ34">
        <v>481169</v>
      </c>
      <c r="BA34" s="3">
        <v>491118</v>
      </c>
      <c r="BB34" s="3">
        <v>512858</v>
      </c>
      <c r="BC34">
        <v>512941</v>
      </c>
      <c r="BD34">
        <v>492051</v>
      </c>
      <c r="BE34">
        <v>492373</v>
      </c>
      <c r="BF34">
        <v>476003</v>
      </c>
      <c r="BG34">
        <v>452886</v>
      </c>
      <c r="BH34">
        <v>430317</v>
      </c>
      <c r="BI34">
        <v>404161</v>
      </c>
      <c r="BJ34">
        <v>381260</v>
      </c>
      <c r="BK34">
        <v>363104</v>
      </c>
      <c r="BL34">
        <v>347790</v>
      </c>
      <c r="BM34">
        <v>333019</v>
      </c>
      <c r="BN34">
        <v>326725</v>
      </c>
      <c r="BO34">
        <v>322131</v>
      </c>
      <c r="BP34">
        <v>312675</v>
      </c>
      <c r="BQ34">
        <v>306097</v>
      </c>
      <c r="BR34">
        <v>299596</v>
      </c>
      <c r="BS34">
        <v>293266</v>
      </c>
      <c r="BT34">
        <v>287414</v>
      </c>
      <c r="BU34">
        <v>282586</v>
      </c>
      <c r="BV34">
        <v>278074</v>
      </c>
      <c r="BW34">
        <v>273809</v>
      </c>
      <c r="BX34">
        <v>269737</v>
      </c>
      <c r="BY34">
        <v>265914</v>
      </c>
      <c r="BZ34">
        <v>262224</v>
      </c>
      <c r="CA34">
        <v>258415</v>
      </c>
      <c r="CB34">
        <v>254586</v>
      </c>
      <c r="CC34">
        <v>250983</v>
      </c>
      <c r="CD34">
        <v>247562</v>
      </c>
      <c r="CE34">
        <v>244331</v>
      </c>
      <c r="CF34">
        <v>241626</v>
      </c>
      <c r="CG34">
        <v>239346</v>
      </c>
      <c r="CH34">
        <v>236875</v>
      </c>
      <c r="CI34">
        <v>234052</v>
      </c>
      <c r="CJ34" s="5">
        <v>230896</v>
      </c>
      <c r="CK34">
        <v>227291</v>
      </c>
      <c r="CL34">
        <v>223230</v>
      </c>
      <c r="CM34">
        <v>218681</v>
      </c>
      <c r="CN34">
        <v>213752</v>
      </c>
      <c r="CO34">
        <v>208528</v>
      </c>
      <c r="CP34">
        <v>203016</v>
      </c>
      <c r="CQ34">
        <v>197286</v>
      </c>
      <c r="CR34">
        <v>191692</v>
      </c>
      <c r="CS34">
        <v>186399</v>
      </c>
      <c r="CT34">
        <v>181349</v>
      </c>
      <c r="CU34">
        <v>176588</v>
      </c>
      <c r="CV34">
        <v>172181</v>
      </c>
      <c r="CW34">
        <v>168191</v>
      </c>
      <c r="CX34">
        <v>164592</v>
      </c>
      <c r="CY34">
        <v>161331</v>
      </c>
      <c r="CZ34">
        <v>158403</v>
      </c>
    </row>
    <row r="35" spans="1:104" x14ac:dyDescent="0.3">
      <c r="A35" t="s">
        <v>12</v>
      </c>
      <c r="B35" t="s">
        <v>36</v>
      </c>
      <c r="C35" t="s">
        <v>16</v>
      </c>
      <c r="D35">
        <v>937153</v>
      </c>
      <c r="E35">
        <v>946702</v>
      </c>
      <c r="F35">
        <v>969811</v>
      </c>
      <c r="G35">
        <v>979147</v>
      </c>
      <c r="H35">
        <v>983279</v>
      </c>
      <c r="I35">
        <v>981344</v>
      </c>
      <c r="J35">
        <v>981982</v>
      </c>
      <c r="K35">
        <v>962877</v>
      </c>
      <c r="L35">
        <v>948601</v>
      </c>
      <c r="M35">
        <v>940884</v>
      </c>
      <c r="N35">
        <v>933591</v>
      </c>
      <c r="O35">
        <v>920863</v>
      </c>
      <c r="P35">
        <v>916700</v>
      </c>
      <c r="Q35">
        <v>903449</v>
      </c>
      <c r="R35">
        <v>890555</v>
      </c>
      <c r="S35">
        <v>881730</v>
      </c>
      <c r="T35">
        <v>903372</v>
      </c>
      <c r="U35">
        <v>916989</v>
      </c>
      <c r="V35">
        <v>937181</v>
      </c>
      <c r="W35">
        <v>961417</v>
      </c>
      <c r="X35">
        <v>980411</v>
      </c>
      <c r="Y35">
        <v>975522</v>
      </c>
      <c r="Z35">
        <v>981055</v>
      </c>
      <c r="AA35">
        <v>968344</v>
      </c>
      <c r="AB35">
        <v>945781</v>
      </c>
      <c r="AC35">
        <v>912603</v>
      </c>
      <c r="AD35">
        <v>859756</v>
      </c>
      <c r="AE35">
        <v>816229</v>
      </c>
      <c r="AF35">
        <v>799201</v>
      </c>
      <c r="AG35">
        <v>771986</v>
      </c>
      <c r="AH35">
        <v>767533</v>
      </c>
      <c r="AI35">
        <v>773594</v>
      </c>
      <c r="AJ35">
        <v>777483</v>
      </c>
      <c r="AK35">
        <v>769927</v>
      </c>
      <c r="AL35">
        <v>775348</v>
      </c>
      <c r="AM35">
        <v>772066</v>
      </c>
      <c r="AN35">
        <v>775111</v>
      </c>
      <c r="AO35">
        <v>777076</v>
      </c>
      <c r="AP35">
        <v>748244</v>
      </c>
      <c r="AQ35">
        <v>728975</v>
      </c>
      <c r="AR35">
        <v>719248</v>
      </c>
      <c r="AS35">
        <v>687792</v>
      </c>
      <c r="AT35">
        <v>650568</v>
      </c>
      <c r="AU35">
        <v>630507</v>
      </c>
      <c r="AV35">
        <v>599179</v>
      </c>
      <c r="AW35">
        <v>552734</v>
      </c>
      <c r="AX35">
        <v>528246</v>
      </c>
      <c r="AY35">
        <v>508956</v>
      </c>
      <c r="AZ35">
        <v>495748</v>
      </c>
      <c r="BA35" s="3">
        <v>485369</v>
      </c>
      <c r="BB35" s="3">
        <v>465497</v>
      </c>
      <c r="BC35">
        <v>459270</v>
      </c>
      <c r="BD35">
        <v>473429</v>
      </c>
      <c r="BE35">
        <v>479979</v>
      </c>
      <c r="BF35">
        <v>490971</v>
      </c>
      <c r="BG35">
        <v>515027</v>
      </c>
      <c r="BH35">
        <v>520928</v>
      </c>
      <c r="BI35">
        <v>502883</v>
      </c>
      <c r="BJ35">
        <v>497723</v>
      </c>
      <c r="BK35">
        <v>480377</v>
      </c>
      <c r="BL35">
        <v>455778</v>
      </c>
      <c r="BM35">
        <v>432065</v>
      </c>
      <c r="BN35">
        <v>404839</v>
      </c>
      <c r="BO35">
        <v>381012</v>
      </c>
      <c r="BP35">
        <v>362937</v>
      </c>
      <c r="BQ35">
        <v>347693</v>
      </c>
      <c r="BR35">
        <v>332989</v>
      </c>
      <c r="BS35">
        <v>326719</v>
      </c>
      <c r="BT35">
        <v>322145</v>
      </c>
      <c r="BU35">
        <v>312722</v>
      </c>
      <c r="BV35">
        <v>306171</v>
      </c>
      <c r="BW35">
        <v>299699</v>
      </c>
      <c r="BX35">
        <v>293391</v>
      </c>
      <c r="BY35">
        <v>287565</v>
      </c>
      <c r="BZ35">
        <v>282757</v>
      </c>
      <c r="CA35">
        <v>278264</v>
      </c>
      <c r="CB35">
        <v>274041</v>
      </c>
      <c r="CC35">
        <v>270037</v>
      </c>
      <c r="CD35">
        <v>266305</v>
      </c>
      <c r="CE35">
        <v>262733</v>
      </c>
      <c r="CF35">
        <v>259069</v>
      </c>
      <c r="CG35">
        <v>255378</v>
      </c>
      <c r="CH35">
        <v>251908</v>
      </c>
      <c r="CI35">
        <v>248619</v>
      </c>
      <c r="CJ35" s="5">
        <v>245519</v>
      </c>
      <c r="CK35">
        <v>242940</v>
      </c>
      <c r="CL35">
        <v>240782</v>
      </c>
      <c r="CM35">
        <v>238431</v>
      </c>
      <c r="CN35">
        <v>235729</v>
      </c>
      <c r="CO35">
        <v>232689</v>
      </c>
      <c r="CP35">
        <v>229198</v>
      </c>
      <c r="CQ35">
        <v>225248</v>
      </c>
      <c r="CR35">
        <v>220806</v>
      </c>
      <c r="CS35">
        <v>215977</v>
      </c>
      <c r="CT35">
        <v>210844</v>
      </c>
      <c r="CU35">
        <v>205417</v>
      </c>
      <c r="CV35">
        <v>199765</v>
      </c>
      <c r="CW35">
        <v>194243</v>
      </c>
      <c r="CX35">
        <v>189020</v>
      </c>
      <c r="CY35">
        <v>184035</v>
      </c>
      <c r="CZ35">
        <v>179334</v>
      </c>
    </row>
    <row r="36" spans="1:104" x14ac:dyDescent="0.3">
      <c r="A36" t="s">
        <v>12</v>
      </c>
      <c r="B36" t="s">
        <v>36</v>
      </c>
      <c r="C36" t="s">
        <v>17</v>
      </c>
      <c r="D36">
        <v>854662</v>
      </c>
      <c r="E36">
        <v>873685</v>
      </c>
      <c r="F36">
        <v>891942</v>
      </c>
      <c r="G36">
        <v>909300</v>
      </c>
      <c r="H36">
        <v>930499</v>
      </c>
      <c r="I36">
        <v>940249</v>
      </c>
      <c r="J36">
        <v>949794</v>
      </c>
      <c r="K36">
        <v>967489</v>
      </c>
      <c r="L36">
        <v>978231</v>
      </c>
      <c r="M36">
        <v>980448</v>
      </c>
      <c r="N36">
        <v>978227</v>
      </c>
      <c r="O36">
        <v>976914</v>
      </c>
      <c r="P36">
        <v>959145</v>
      </c>
      <c r="Q36">
        <v>945746</v>
      </c>
      <c r="R36">
        <v>938387</v>
      </c>
      <c r="S36">
        <v>931079</v>
      </c>
      <c r="T36">
        <v>915827</v>
      </c>
      <c r="U36">
        <v>912675</v>
      </c>
      <c r="V36">
        <v>900225</v>
      </c>
      <c r="W36">
        <v>887211</v>
      </c>
      <c r="X36">
        <v>876950</v>
      </c>
      <c r="Y36">
        <v>897348</v>
      </c>
      <c r="Z36">
        <v>908876</v>
      </c>
      <c r="AA36">
        <v>928393</v>
      </c>
      <c r="AB36">
        <v>957320</v>
      </c>
      <c r="AC36">
        <v>976274</v>
      </c>
      <c r="AD36">
        <v>971801</v>
      </c>
      <c r="AE36">
        <v>977774</v>
      </c>
      <c r="AF36">
        <v>966760</v>
      </c>
      <c r="AG36">
        <v>942560</v>
      </c>
      <c r="AH36">
        <v>910495</v>
      </c>
      <c r="AI36">
        <v>858177</v>
      </c>
      <c r="AJ36">
        <v>814496</v>
      </c>
      <c r="AK36">
        <v>795888</v>
      </c>
      <c r="AL36">
        <v>768784</v>
      </c>
      <c r="AM36">
        <v>764664</v>
      </c>
      <c r="AN36">
        <v>771109</v>
      </c>
      <c r="AO36">
        <v>775575</v>
      </c>
      <c r="AP36">
        <v>768840</v>
      </c>
      <c r="AQ36">
        <v>774675</v>
      </c>
      <c r="AR36">
        <v>771420</v>
      </c>
      <c r="AS36">
        <v>774423</v>
      </c>
      <c r="AT36">
        <v>776481</v>
      </c>
      <c r="AU36">
        <v>747813</v>
      </c>
      <c r="AV36">
        <v>728480</v>
      </c>
      <c r="AW36">
        <v>718731</v>
      </c>
      <c r="AX36">
        <v>687456</v>
      </c>
      <c r="AY36">
        <v>650204</v>
      </c>
      <c r="AZ36">
        <v>630304</v>
      </c>
      <c r="BA36" s="3">
        <v>599136</v>
      </c>
      <c r="BB36" s="3">
        <v>551607</v>
      </c>
      <c r="BC36">
        <v>523649</v>
      </c>
      <c r="BD36">
        <v>503071</v>
      </c>
      <c r="BE36">
        <v>495262</v>
      </c>
      <c r="BF36">
        <v>485827</v>
      </c>
      <c r="BG36">
        <v>466879</v>
      </c>
      <c r="BH36">
        <v>464321</v>
      </c>
      <c r="BI36">
        <v>480413</v>
      </c>
      <c r="BJ36">
        <v>480811</v>
      </c>
      <c r="BK36">
        <v>491975</v>
      </c>
      <c r="BL36">
        <v>516127</v>
      </c>
      <c r="BM36">
        <v>521942</v>
      </c>
      <c r="BN36">
        <v>503601</v>
      </c>
      <c r="BO36">
        <v>497750</v>
      </c>
      <c r="BP36">
        <v>480449</v>
      </c>
      <c r="BQ36">
        <v>455918</v>
      </c>
      <c r="BR36">
        <v>432262</v>
      </c>
      <c r="BS36">
        <v>405110</v>
      </c>
      <c r="BT36">
        <v>381334</v>
      </c>
      <c r="BU36">
        <v>363300</v>
      </c>
      <c r="BV36">
        <v>348091</v>
      </c>
      <c r="BW36">
        <v>333416</v>
      </c>
      <c r="BX36">
        <v>327157</v>
      </c>
      <c r="BY36">
        <v>322595</v>
      </c>
      <c r="BZ36">
        <v>313197</v>
      </c>
      <c r="CA36">
        <v>306662</v>
      </c>
      <c r="CB36">
        <v>300198</v>
      </c>
      <c r="CC36">
        <v>293899</v>
      </c>
      <c r="CD36">
        <v>288079</v>
      </c>
      <c r="CE36">
        <v>283284</v>
      </c>
      <c r="CF36">
        <v>278821</v>
      </c>
      <c r="CG36">
        <v>274626</v>
      </c>
      <c r="CH36">
        <v>270645</v>
      </c>
      <c r="CI36">
        <v>266941</v>
      </c>
      <c r="CJ36" s="5">
        <v>263398</v>
      </c>
      <c r="CK36">
        <v>259763</v>
      </c>
      <c r="CL36">
        <v>256100</v>
      </c>
      <c r="CM36">
        <v>252655</v>
      </c>
      <c r="CN36">
        <v>249392</v>
      </c>
      <c r="CO36">
        <v>246317</v>
      </c>
      <c r="CP36">
        <v>243760</v>
      </c>
      <c r="CQ36">
        <v>241625</v>
      </c>
      <c r="CR36">
        <v>239295</v>
      </c>
      <c r="CS36">
        <v>236615</v>
      </c>
      <c r="CT36">
        <v>233594</v>
      </c>
      <c r="CU36">
        <v>230126</v>
      </c>
      <c r="CV36">
        <v>226198</v>
      </c>
      <c r="CW36">
        <v>221777</v>
      </c>
      <c r="CX36">
        <v>216966</v>
      </c>
      <c r="CY36">
        <v>211852</v>
      </c>
      <c r="CZ36">
        <v>206444</v>
      </c>
    </row>
    <row r="37" spans="1:104" x14ac:dyDescent="0.3">
      <c r="A37" t="s">
        <v>12</v>
      </c>
      <c r="B37" t="s">
        <v>36</v>
      </c>
      <c r="C37" t="s">
        <v>18</v>
      </c>
      <c r="D37">
        <v>584014</v>
      </c>
      <c r="E37">
        <v>668099</v>
      </c>
      <c r="F37">
        <v>731832</v>
      </c>
      <c r="G37">
        <v>778889</v>
      </c>
      <c r="H37">
        <v>819801</v>
      </c>
      <c r="I37">
        <v>858571</v>
      </c>
      <c r="J37">
        <v>876596</v>
      </c>
      <c r="K37">
        <v>889171</v>
      </c>
      <c r="L37">
        <v>908037</v>
      </c>
      <c r="M37">
        <v>928167</v>
      </c>
      <c r="N37">
        <v>938374</v>
      </c>
      <c r="O37">
        <v>947389</v>
      </c>
      <c r="P37">
        <v>966477</v>
      </c>
      <c r="Q37">
        <v>974687</v>
      </c>
      <c r="R37">
        <v>978274</v>
      </c>
      <c r="S37">
        <v>975088</v>
      </c>
      <c r="T37">
        <v>972885</v>
      </c>
      <c r="U37">
        <v>956137</v>
      </c>
      <c r="V37">
        <v>944902</v>
      </c>
      <c r="W37">
        <v>935318</v>
      </c>
      <c r="X37">
        <v>927382</v>
      </c>
      <c r="Y37">
        <v>912295</v>
      </c>
      <c r="Z37">
        <v>906796</v>
      </c>
      <c r="AA37">
        <v>892492</v>
      </c>
      <c r="AB37">
        <v>878044</v>
      </c>
      <c r="AC37">
        <v>868467</v>
      </c>
      <c r="AD37">
        <v>889555</v>
      </c>
      <c r="AE37">
        <v>902965</v>
      </c>
      <c r="AF37">
        <v>927993</v>
      </c>
      <c r="AG37">
        <v>956601</v>
      </c>
      <c r="AH37">
        <v>977952</v>
      </c>
      <c r="AI37">
        <v>973513</v>
      </c>
      <c r="AJ37">
        <v>978706</v>
      </c>
      <c r="AK37">
        <v>964793</v>
      </c>
      <c r="AL37">
        <v>939894</v>
      </c>
      <c r="AM37">
        <v>908333</v>
      </c>
      <c r="AN37">
        <v>857516</v>
      </c>
      <c r="AO37">
        <v>814957</v>
      </c>
      <c r="AP37">
        <v>797136</v>
      </c>
      <c r="AQ37">
        <v>770663</v>
      </c>
      <c r="AR37">
        <v>765670</v>
      </c>
      <c r="AS37">
        <v>771069</v>
      </c>
      <c r="AT37">
        <v>775225</v>
      </c>
      <c r="AU37">
        <v>768360</v>
      </c>
      <c r="AV37">
        <v>773938</v>
      </c>
      <c r="AW37">
        <v>770557</v>
      </c>
      <c r="AX37">
        <v>773542</v>
      </c>
      <c r="AY37">
        <v>775760</v>
      </c>
      <c r="AZ37">
        <v>747078</v>
      </c>
      <c r="BA37" s="3">
        <v>727768</v>
      </c>
      <c r="BB37" s="3">
        <v>717320</v>
      </c>
      <c r="BC37">
        <v>683039</v>
      </c>
      <c r="BD37">
        <v>644631</v>
      </c>
      <c r="BE37">
        <v>628736</v>
      </c>
      <c r="BF37">
        <v>598473</v>
      </c>
      <c r="BG37">
        <v>552109</v>
      </c>
      <c r="BH37">
        <v>527405</v>
      </c>
      <c r="BI37">
        <v>507843</v>
      </c>
      <c r="BJ37">
        <v>494415</v>
      </c>
      <c r="BK37">
        <v>484142</v>
      </c>
      <c r="BL37">
        <v>465363</v>
      </c>
      <c r="BM37">
        <v>463368</v>
      </c>
      <c r="BN37">
        <v>479976</v>
      </c>
      <c r="BO37">
        <v>480867</v>
      </c>
      <c r="BP37">
        <v>492012</v>
      </c>
      <c r="BQ37">
        <v>516068</v>
      </c>
      <c r="BR37">
        <v>521854</v>
      </c>
      <c r="BS37">
        <v>503580</v>
      </c>
      <c r="BT37">
        <v>497726</v>
      </c>
      <c r="BU37">
        <v>480469</v>
      </c>
      <c r="BV37">
        <v>456008</v>
      </c>
      <c r="BW37">
        <v>432425</v>
      </c>
      <c r="BX37">
        <v>405352</v>
      </c>
      <c r="BY37">
        <v>381650</v>
      </c>
      <c r="BZ37">
        <v>363675</v>
      </c>
      <c r="CA37">
        <v>348511</v>
      </c>
      <c r="CB37">
        <v>333879</v>
      </c>
      <c r="CC37">
        <v>327626</v>
      </c>
      <c r="CD37">
        <v>323055</v>
      </c>
      <c r="CE37">
        <v>313658</v>
      </c>
      <c r="CF37">
        <v>307107</v>
      </c>
      <c r="CG37">
        <v>300627</v>
      </c>
      <c r="CH37">
        <v>294317</v>
      </c>
      <c r="CI37">
        <v>288487</v>
      </c>
      <c r="CJ37" s="5">
        <v>283680</v>
      </c>
      <c r="CK37">
        <v>279204</v>
      </c>
      <c r="CL37">
        <v>274997</v>
      </c>
      <c r="CM37">
        <v>271008</v>
      </c>
      <c r="CN37">
        <v>267289</v>
      </c>
      <c r="CO37">
        <v>263731</v>
      </c>
      <c r="CP37">
        <v>260087</v>
      </c>
      <c r="CQ37">
        <v>256414</v>
      </c>
      <c r="CR37">
        <v>252959</v>
      </c>
      <c r="CS37">
        <v>249683</v>
      </c>
      <c r="CT37">
        <v>246597</v>
      </c>
      <c r="CU37">
        <v>244026</v>
      </c>
      <c r="CV37">
        <v>241877</v>
      </c>
      <c r="CW37">
        <v>239534</v>
      </c>
      <c r="CX37">
        <v>236843</v>
      </c>
      <c r="CY37">
        <v>233815</v>
      </c>
      <c r="CZ37">
        <v>230342</v>
      </c>
    </row>
    <row r="38" spans="1:104" x14ac:dyDescent="0.3">
      <c r="A38" t="s">
        <v>12</v>
      </c>
      <c r="B38" t="s">
        <v>36</v>
      </c>
      <c r="C38" t="s">
        <v>19</v>
      </c>
      <c r="D38">
        <v>449632</v>
      </c>
      <c r="E38">
        <v>440686</v>
      </c>
      <c r="F38">
        <v>454210</v>
      </c>
      <c r="G38">
        <v>475346</v>
      </c>
      <c r="H38">
        <v>516386</v>
      </c>
      <c r="I38">
        <v>579845</v>
      </c>
      <c r="J38">
        <v>662162</v>
      </c>
      <c r="K38">
        <v>722374</v>
      </c>
      <c r="L38">
        <v>770077</v>
      </c>
      <c r="M38">
        <v>810167</v>
      </c>
      <c r="N38">
        <v>847952</v>
      </c>
      <c r="O38">
        <v>866486</v>
      </c>
      <c r="P38">
        <v>882902</v>
      </c>
      <c r="Q38">
        <v>899467</v>
      </c>
      <c r="R38">
        <v>919540</v>
      </c>
      <c r="S38">
        <v>928135</v>
      </c>
      <c r="T38">
        <v>935544</v>
      </c>
      <c r="U38">
        <v>950823</v>
      </c>
      <c r="V38">
        <v>962210</v>
      </c>
      <c r="W38">
        <v>962794</v>
      </c>
      <c r="X38">
        <v>962696</v>
      </c>
      <c r="Y38">
        <v>959244</v>
      </c>
      <c r="Z38">
        <v>943708</v>
      </c>
      <c r="AA38">
        <v>932646</v>
      </c>
      <c r="AB38">
        <v>924775</v>
      </c>
      <c r="AC38">
        <v>918641</v>
      </c>
      <c r="AD38">
        <v>904388</v>
      </c>
      <c r="AE38">
        <v>901768</v>
      </c>
      <c r="AF38">
        <v>892062</v>
      </c>
      <c r="AG38">
        <v>880849</v>
      </c>
      <c r="AH38">
        <v>873639</v>
      </c>
      <c r="AI38">
        <v>898649</v>
      </c>
      <c r="AJ38">
        <v>912380</v>
      </c>
      <c r="AK38">
        <v>934343</v>
      </c>
      <c r="AL38">
        <v>961852</v>
      </c>
      <c r="AM38">
        <v>984102</v>
      </c>
      <c r="AN38">
        <v>984295</v>
      </c>
      <c r="AO38">
        <v>995008</v>
      </c>
      <c r="AP38">
        <v>985307</v>
      </c>
      <c r="AQ38">
        <v>965727</v>
      </c>
      <c r="AR38">
        <v>933395</v>
      </c>
      <c r="AS38">
        <v>878871</v>
      </c>
      <c r="AT38">
        <v>830809</v>
      </c>
      <c r="AU38">
        <v>808320</v>
      </c>
      <c r="AV38">
        <v>776715</v>
      </c>
      <c r="AW38">
        <v>768294</v>
      </c>
      <c r="AX38">
        <v>772223</v>
      </c>
      <c r="AY38">
        <v>775391</v>
      </c>
      <c r="AZ38">
        <v>768132</v>
      </c>
      <c r="BA38" s="3">
        <v>773555</v>
      </c>
      <c r="BB38" s="3">
        <v>769144</v>
      </c>
      <c r="BC38">
        <v>765891</v>
      </c>
      <c r="BD38">
        <v>767224</v>
      </c>
      <c r="BE38">
        <v>746104</v>
      </c>
      <c r="BF38">
        <v>728093</v>
      </c>
      <c r="BG38">
        <v>718725</v>
      </c>
      <c r="BH38">
        <v>686297</v>
      </c>
      <c r="BI38">
        <v>647860</v>
      </c>
      <c r="BJ38">
        <v>627254</v>
      </c>
      <c r="BK38">
        <v>596845</v>
      </c>
      <c r="BL38">
        <v>551302</v>
      </c>
      <c r="BM38">
        <v>527530</v>
      </c>
      <c r="BN38">
        <v>508799</v>
      </c>
      <c r="BO38">
        <v>495950</v>
      </c>
      <c r="BP38">
        <v>485728</v>
      </c>
      <c r="BQ38">
        <v>467030</v>
      </c>
      <c r="BR38">
        <v>465046</v>
      </c>
      <c r="BS38">
        <v>481570</v>
      </c>
      <c r="BT38">
        <v>482415</v>
      </c>
      <c r="BU38">
        <v>493471</v>
      </c>
      <c r="BV38">
        <v>517350</v>
      </c>
      <c r="BW38">
        <v>523082</v>
      </c>
      <c r="BX38">
        <v>504905</v>
      </c>
      <c r="BY38">
        <v>499055</v>
      </c>
      <c r="BZ38">
        <v>481878</v>
      </c>
      <c r="CA38">
        <v>457545</v>
      </c>
      <c r="CB38">
        <v>434091</v>
      </c>
      <c r="CC38">
        <v>407158</v>
      </c>
      <c r="CD38">
        <v>383568</v>
      </c>
      <c r="CE38">
        <v>365679</v>
      </c>
      <c r="CF38">
        <v>350579</v>
      </c>
      <c r="CG38">
        <v>336015</v>
      </c>
      <c r="CH38">
        <v>329780</v>
      </c>
      <c r="CI38">
        <v>325218</v>
      </c>
      <c r="CJ38" s="5">
        <v>315864</v>
      </c>
      <c r="CK38">
        <v>309339</v>
      </c>
      <c r="CL38">
        <v>302890</v>
      </c>
      <c r="CM38">
        <v>296604</v>
      </c>
      <c r="CN38">
        <v>290801</v>
      </c>
      <c r="CO38">
        <v>286015</v>
      </c>
      <c r="CP38">
        <v>281555</v>
      </c>
      <c r="CQ38">
        <v>277361</v>
      </c>
      <c r="CR38">
        <v>273388</v>
      </c>
      <c r="CS38">
        <v>269686</v>
      </c>
      <c r="CT38">
        <v>266141</v>
      </c>
      <c r="CU38">
        <v>262509</v>
      </c>
      <c r="CV38">
        <v>258848</v>
      </c>
      <c r="CW38">
        <v>255405</v>
      </c>
      <c r="CX38">
        <v>252140</v>
      </c>
      <c r="CY38">
        <v>249067</v>
      </c>
      <c r="CZ38">
        <v>246503</v>
      </c>
    </row>
    <row r="39" spans="1:104" x14ac:dyDescent="0.3">
      <c r="A39" t="s">
        <v>12</v>
      </c>
      <c r="B39" t="s">
        <v>36</v>
      </c>
      <c r="C39" t="s">
        <v>20</v>
      </c>
      <c r="D39">
        <v>443492</v>
      </c>
      <c r="E39">
        <v>454091</v>
      </c>
      <c r="F39">
        <v>461108</v>
      </c>
      <c r="G39">
        <v>465211</v>
      </c>
      <c r="H39">
        <v>463417</v>
      </c>
      <c r="I39">
        <v>445929</v>
      </c>
      <c r="J39">
        <v>436099</v>
      </c>
      <c r="K39">
        <v>445544</v>
      </c>
      <c r="L39">
        <v>468886</v>
      </c>
      <c r="M39">
        <v>508883</v>
      </c>
      <c r="N39">
        <v>570999</v>
      </c>
      <c r="O39">
        <v>653342</v>
      </c>
      <c r="P39">
        <v>713970</v>
      </c>
      <c r="Q39">
        <v>762193</v>
      </c>
      <c r="R39">
        <v>802560</v>
      </c>
      <c r="S39">
        <v>838408</v>
      </c>
      <c r="T39">
        <v>854409</v>
      </c>
      <c r="U39">
        <v>865494</v>
      </c>
      <c r="V39">
        <v>885792</v>
      </c>
      <c r="W39">
        <v>903770</v>
      </c>
      <c r="X39">
        <v>914217</v>
      </c>
      <c r="Y39">
        <v>924204</v>
      </c>
      <c r="Z39">
        <v>941089</v>
      </c>
      <c r="AA39">
        <v>951036</v>
      </c>
      <c r="AB39">
        <v>959865</v>
      </c>
      <c r="AC39">
        <v>958977</v>
      </c>
      <c r="AD39">
        <v>957824</v>
      </c>
      <c r="AE39">
        <v>942065</v>
      </c>
      <c r="AF39">
        <v>933424</v>
      </c>
      <c r="AG39">
        <v>927158</v>
      </c>
      <c r="AH39">
        <v>923495</v>
      </c>
      <c r="AI39">
        <v>912193</v>
      </c>
      <c r="AJ39">
        <v>910956</v>
      </c>
      <c r="AK39">
        <v>899141</v>
      </c>
      <c r="AL39">
        <v>889075</v>
      </c>
      <c r="AM39">
        <v>883579</v>
      </c>
      <c r="AN39">
        <v>912357</v>
      </c>
      <c r="AO39">
        <v>929007</v>
      </c>
      <c r="AP39">
        <v>955283</v>
      </c>
      <c r="AQ39">
        <v>991472</v>
      </c>
      <c r="AR39">
        <v>1016997</v>
      </c>
      <c r="AS39">
        <v>1015193</v>
      </c>
      <c r="AT39">
        <v>1023196</v>
      </c>
      <c r="AU39">
        <v>1010845</v>
      </c>
      <c r="AV39">
        <v>985507</v>
      </c>
      <c r="AW39">
        <v>949465</v>
      </c>
      <c r="AX39">
        <v>892212</v>
      </c>
      <c r="AY39">
        <v>840441</v>
      </c>
      <c r="AZ39">
        <v>815508</v>
      </c>
      <c r="BA39" s="3">
        <v>782296</v>
      </c>
      <c r="BB39" s="3">
        <v>771245</v>
      </c>
      <c r="BC39">
        <v>766264</v>
      </c>
      <c r="BD39">
        <v>766445</v>
      </c>
      <c r="BE39">
        <v>768994</v>
      </c>
      <c r="BF39">
        <v>775514</v>
      </c>
      <c r="BG39">
        <v>774363</v>
      </c>
      <c r="BH39">
        <v>776066</v>
      </c>
      <c r="BI39">
        <v>776680</v>
      </c>
      <c r="BJ39">
        <v>747043</v>
      </c>
      <c r="BK39">
        <v>728532</v>
      </c>
      <c r="BL39">
        <v>719357</v>
      </c>
      <c r="BM39">
        <v>688886</v>
      </c>
      <c r="BN39">
        <v>652455</v>
      </c>
      <c r="BO39">
        <v>633074</v>
      </c>
      <c r="BP39">
        <v>602841</v>
      </c>
      <c r="BQ39">
        <v>557552</v>
      </c>
      <c r="BR39">
        <v>533899</v>
      </c>
      <c r="BS39">
        <v>515236</v>
      </c>
      <c r="BT39">
        <v>502387</v>
      </c>
      <c r="BU39">
        <v>492152</v>
      </c>
      <c r="BV39">
        <v>473518</v>
      </c>
      <c r="BW39">
        <v>471498</v>
      </c>
      <c r="BX39">
        <v>487871</v>
      </c>
      <c r="BY39">
        <v>488692</v>
      </c>
      <c r="BZ39">
        <v>499647</v>
      </c>
      <c r="CA39">
        <v>523360</v>
      </c>
      <c r="CB39">
        <v>529029</v>
      </c>
      <c r="CC39">
        <v>510938</v>
      </c>
      <c r="CD39">
        <v>505094</v>
      </c>
      <c r="CE39">
        <v>487979</v>
      </c>
      <c r="CF39">
        <v>463753</v>
      </c>
      <c r="CG39">
        <v>440405</v>
      </c>
      <c r="CH39">
        <v>413605</v>
      </c>
      <c r="CI39">
        <v>390141</v>
      </c>
      <c r="CJ39" s="5">
        <v>372354</v>
      </c>
      <c r="CK39">
        <v>357338</v>
      </c>
      <c r="CL39">
        <v>342855</v>
      </c>
      <c r="CM39">
        <v>336652</v>
      </c>
      <c r="CN39">
        <v>332107</v>
      </c>
      <c r="CO39">
        <v>322804</v>
      </c>
      <c r="CP39">
        <v>316313</v>
      </c>
      <c r="CQ39">
        <v>309896</v>
      </c>
      <c r="CR39">
        <v>303641</v>
      </c>
      <c r="CS39">
        <v>297866</v>
      </c>
      <c r="CT39">
        <v>293101</v>
      </c>
      <c r="CU39">
        <v>288662</v>
      </c>
      <c r="CV39">
        <v>284490</v>
      </c>
      <c r="CW39">
        <v>280536</v>
      </c>
      <c r="CX39">
        <v>276846</v>
      </c>
      <c r="CY39">
        <v>273314</v>
      </c>
      <c r="CZ39">
        <v>269700</v>
      </c>
    </row>
    <row r="40" spans="1:104" x14ac:dyDescent="0.3">
      <c r="A40" t="s">
        <v>12</v>
      </c>
      <c r="B40" t="s">
        <v>36</v>
      </c>
      <c r="C40" t="s">
        <v>21</v>
      </c>
      <c r="D40">
        <v>388501</v>
      </c>
      <c r="E40">
        <v>394998</v>
      </c>
      <c r="F40">
        <v>408148</v>
      </c>
      <c r="G40">
        <v>417270</v>
      </c>
      <c r="H40">
        <v>427986</v>
      </c>
      <c r="I40">
        <v>438834</v>
      </c>
      <c r="J40">
        <v>450182</v>
      </c>
      <c r="K40">
        <v>454086</v>
      </c>
      <c r="L40">
        <v>459284</v>
      </c>
      <c r="M40">
        <v>457170</v>
      </c>
      <c r="N40">
        <v>441155</v>
      </c>
      <c r="O40">
        <v>430926</v>
      </c>
      <c r="P40">
        <v>441769</v>
      </c>
      <c r="Q40">
        <v>464485</v>
      </c>
      <c r="R40">
        <v>505110</v>
      </c>
      <c r="S40">
        <v>565057</v>
      </c>
      <c r="T40">
        <v>641140</v>
      </c>
      <c r="U40">
        <v>699184</v>
      </c>
      <c r="V40">
        <v>748823</v>
      </c>
      <c r="W40">
        <v>786760</v>
      </c>
      <c r="X40">
        <v>825028</v>
      </c>
      <c r="Y40">
        <v>841932</v>
      </c>
      <c r="Z40">
        <v>857434</v>
      </c>
      <c r="AA40">
        <v>876875</v>
      </c>
      <c r="AB40">
        <v>901674</v>
      </c>
      <c r="AC40">
        <v>913049</v>
      </c>
      <c r="AD40">
        <v>922264</v>
      </c>
      <c r="AE40">
        <v>940571</v>
      </c>
      <c r="AF40">
        <v>954832</v>
      </c>
      <c r="AG40">
        <v>958278</v>
      </c>
      <c r="AH40">
        <v>958242</v>
      </c>
      <c r="AI40">
        <v>958222</v>
      </c>
      <c r="AJ40">
        <v>942289</v>
      </c>
      <c r="AK40">
        <v>931722</v>
      </c>
      <c r="AL40">
        <v>926468</v>
      </c>
      <c r="AM40">
        <v>924556</v>
      </c>
      <c r="AN40">
        <v>917352</v>
      </c>
      <c r="AO40">
        <v>918842</v>
      </c>
      <c r="AP40">
        <v>910492</v>
      </c>
      <c r="AQ40">
        <v>905787</v>
      </c>
      <c r="AR40">
        <v>902236</v>
      </c>
      <c r="AS40">
        <v>930095</v>
      </c>
      <c r="AT40">
        <v>945898</v>
      </c>
      <c r="AU40">
        <v>971681</v>
      </c>
      <c r="AV40">
        <v>1001868</v>
      </c>
      <c r="AW40">
        <v>1024829</v>
      </c>
      <c r="AX40">
        <v>1022480</v>
      </c>
      <c r="AY40">
        <v>1030464</v>
      </c>
      <c r="AZ40">
        <v>1017209</v>
      </c>
      <c r="BA40" s="3">
        <v>991358</v>
      </c>
      <c r="BB40" s="3">
        <v>952846</v>
      </c>
      <c r="BC40">
        <v>886781</v>
      </c>
      <c r="BD40">
        <v>832960</v>
      </c>
      <c r="BE40">
        <v>817380</v>
      </c>
      <c r="BF40">
        <v>785530</v>
      </c>
      <c r="BG40">
        <v>777306</v>
      </c>
      <c r="BH40">
        <v>778965</v>
      </c>
      <c r="BI40">
        <v>779910</v>
      </c>
      <c r="BJ40">
        <v>771482</v>
      </c>
      <c r="BK40">
        <v>777112</v>
      </c>
      <c r="BL40">
        <v>774249</v>
      </c>
      <c r="BM40">
        <v>777780</v>
      </c>
      <c r="BN40">
        <v>780687</v>
      </c>
      <c r="BO40">
        <v>752992</v>
      </c>
      <c r="BP40">
        <v>734575</v>
      </c>
      <c r="BQ40">
        <v>725433</v>
      </c>
      <c r="BR40">
        <v>695130</v>
      </c>
      <c r="BS40">
        <v>658887</v>
      </c>
      <c r="BT40">
        <v>639554</v>
      </c>
      <c r="BU40">
        <v>609437</v>
      </c>
      <c r="BV40">
        <v>564366</v>
      </c>
      <c r="BW40">
        <v>540801</v>
      </c>
      <c r="BX40">
        <v>522209</v>
      </c>
      <c r="BY40">
        <v>509426</v>
      </c>
      <c r="BZ40">
        <v>499236</v>
      </c>
      <c r="CA40">
        <v>480691</v>
      </c>
      <c r="CB40">
        <v>478654</v>
      </c>
      <c r="CC40">
        <v>494906</v>
      </c>
      <c r="CD40">
        <v>495691</v>
      </c>
      <c r="CE40">
        <v>506546</v>
      </c>
      <c r="CF40">
        <v>530066</v>
      </c>
      <c r="CG40">
        <v>535655</v>
      </c>
      <c r="CH40">
        <v>517630</v>
      </c>
      <c r="CI40">
        <v>511788</v>
      </c>
      <c r="CJ40" s="5">
        <v>494761</v>
      </c>
      <c r="CK40">
        <v>470670</v>
      </c>
      <c r="CL40">
        <v>447453</v>
      </c>
      <c r="CM40">
        <v>420807</v>
      </c>
      <c r="CN40">
        <v>397480</v>
      </c>
      <c r="CO40">
        <v>379790</v>
      </c>
      <c r="CP40">
        <v>364859</v>
      </c>
      <c r="CQ40">
        <v>350459</v>
      </c>
      <c r="CR40">
        <v>344285</v>
      </c>
      <c r="CS40">
        <v>339758</v>
      </c>
      <c r="CT40">
        <v>330503</v>
      </c>
      <c r="CU40">
        <v>324041</v>
      </c>
      <c r="CV40">
        <v>317655</v>
      </c>
      <c r="CW40">
        <v>311430</v>
      </c>
      <c r="CX40">
        <v>305686</v>
      </c>
      <c r="CY40">
        <v>300945</v>
      </c>
      <c r="CZ40">
        <v>296525</v>
      </c>
    </row>
    <row r="41" spans="1:104" x14ac:dyDescent="0.3">
      <c r="A41" t="s">
        <v>12</v>
      </c>
      <c r="B41" t="s">
        <v>36</v>
      </c>
      <c r="C41" t="s">
        <v>22</v>
      </c>
      <c r="D41">
        <v>339713</v>
      </c>
      <c r="E41">
        <v>349640</v>
      </c>
      <c r="F41">
        <v>360427</v>
      </c>
      <c r="G41">
        <v>367640</v>
      </c>
      <c r="H41">
        <v>375151</v>
      </c>
      <c r="I41">
        <v>384788</v>
      </c>
      <c r="J41">
        <v>391303</v>
      </c>
      <c r="K41">
        <v>401383</v>
      </c>
      <c r="L41">
        <v>411227</v>
      </c>
      <c r="M41">
        <v>422104</v>
      </c>
      <c r="N41">
        <v>434682</v>
      </c>
      <c r="O41">
        <v>445109</v>
      </c>
      <c r="P41">
        <v>449318</v>
      </c>
      <c r="Q41">
        <v>454355</v>
      </c>
      <c r="R41">
        <v>452870</v>
      </c>
      <c r="S41">
        <v>437145</v>
      </c>
      <c r="T41">
        <v>429068</v>
      </c>
      <c r="U41">
        <v>441298</v>
      </c>
      <c r="V41">
        <v>462406</v>
      </c>
      <c r="W41">
        <v>500053</v>
      </c>
      <c r="X41">
        <v>559328</v>
      </c>
      <c r="Y41">
        <v>635554</v>
      </c>
      <c r="Z41">
        <v>692766</v>
      </c>
      <c r="AA41">
        <v>741550</v>
      </c>
      <c r="AB41">
        <v>784055</v>
      </c>
      <c r="AC41">
        <v>821938</v>
      </c>
      <c r="AD41">
        <v>838760</v>
      </c>
      <c r="AE41">
        <v>853954</v>
      </c>
      <c r="AF41">
        <v>875959</v>
      </c>
      <c r="AG41">
        <v>896277</v>
      </c>
      <c r="AH41">
        <v>908597</v>
      </c>
      <c r="AI41">
        <v>918228</v>
      </c>
      <c r="AJ41">
        <v>935973</v>
      </c>
      <c r="AK41">
        <v>947625</v>
      </c>
      <c r="AL41">
        <v>951241</v>
      </c>
      <c r="AM41">
        <v>952202</v>
      </c>
      <c r="AN41">
        <v>955249</v>
      </c>
      <c r="AO41">
        <v>940956</v>
      </c>
      <c r="AP41">
        <v>932657</v>
      </c>
      <c r="AQ41">
        <v>930830</v>
      </c>
      <c r="AR41">
        <v>930305</v>
      </c>
      <c r="AS41">
        <v>922634</v>
      </c>
      <c r="AT41">
        <v>924215</v>
      </c>
      <c r="AU41">
        <v>915802</v>
      </c>
      <c r="AV41">
        <v>907713</v>
      </c>
      <c r="AW41">
        <v>903196</v>
      </c>
      <c r="AX41">
        <v>930523</v>
      </c>
      <c r="AY41">
        <v>946420</v>
      </c>
      <c r="AZ41">
        <v>972195</v>
      </c>
      <c r="BA41" s="3">
        <v>1002276</v>
      </c>
      <c r="BB41" s="3">
        <v>1023319</v>
      </c>
      <c r="BC41">
        <v>1012869</v>
      </c>
      <c r="BD41">
        <v>1019133</v>
      </c>
      <c r="BE41">
        <v>1015940</v>
      </c>
      <c r="BF41">
        <v>991692</v>
      </c>
      <c r="BG41">
        <v>955077</v>
      </c>
      <c r="BH41">
        <v>895953</v>
      </c>
      <c r="BI41">
        <v>842856</v>
      </c>
      <c r="BJ41">
        <v>816446</v>
      </c>
      <c r="BK41">
        <v>783456</v>
      </c>
      <c r="BL41">
        <v>774461</v>
      </c>
      <c r="BM41">
        <v>777570</v>
      </c>
      <c r="BN41">
        <v>780431</v>
      </c>
      <c r="BO41">
        <v>773517</v>
      </c>
      <c r="BP41">
        <v>779117</v>
      </c>
      <c r="BQ41">
        <v>776277</v>
      </c>
      <c r="BR41">
        <v>779787</v>
      </c>
      <c r="BS41">
        <v>782668</v>
      </c>
      <c r="BT41">
        <v>755127</v>
      </c>
      <c r="BU41">
        <v>736799</v>
      </c>
      <c r="BV41">
        <v>727697</v>
      </c>
      <c r="BW41">
        <v>697564</v>
      </c>
      <c r="BX41">
        <v>661534</v>
      </c>
      <c r="BY41">
        <v>642327</v>
      </c>
      <c r="BZ41">
        <v>612401</v>
      </c>
      <c r="CA41">
        <v>567612</v>
      </c>
      <c r="CB41">
        <v>544181</v>
      </c>
      <c r="CC41">
        <v>525683</v>
      </c>
      <c r="CD41">
        <v>512946</v>
      </c>
      <c r="CE41">
        <v>502776</v>
      </c>
      <c r="CF41">
        <v>484296</v>
      </c>
      <c r="CG41">
        <v>482221</v>
      </c>
      <c r="CH41">
        <v>498322</v>
      </c>
      <c r="CI41">
        <v>499060</v>
      </c>
      <c r="CJ41" s="5">
        <v>509814</v>
      </c>
      <c r="CK41">
        <v>533145</v>
      </c>
      <c r="CL41">
        <v>538661</v>
      </c>
      <c r="CM41">
        <v>520721</v>
      </c>
      <c r="CN41">
        <v>514880</v>
      </c>
      <c r="CO41">
        <v>497935</v>
      </c>
      <c r="CP41">
        <v>473980</v>
      </c>
      <c r="CQ41">
        <v>450894</v>
      </c>
      <c r="CR41">
        <v>424407</v>
      </c>
      <c r="CS41">
        <v>401216</v>
      </c>
      <c r="CT41">
        <v>383631</v>
      </c>
      <c r="CU41">
        <v>368784</v>
      </c>
      <c r="CV41">
        <v>354464</v>
      </c>
      <c r="CW41">
        <v>348309</v>
      </c>
      <c r="CX41">
        <v>343791</v>
      </c>
      <c r="CY41">
        <v>334582</v>
      </c>
      <c r="CZ41">
        <v>328148</v>
      </c>
    </row>
    <row r="42" spans="1:104" x14ac:dyDescent="0.3">
      <c r="A42" t="s">
        <v>12</v>
      </c>
      <c r="B42" t="s">
        <v>36</v>
      </c>
      <c r="C42" t="s">
        <v>23</v>
      </c>
      <c r="D42">
        <v>278713</v>
      </c>
      <c r="E42">
        <v>287346</v>
      </c>
      <c r="F42">
        <v>297826</v>
      </c>
      <c r="G42">
        <v>311736</v>
      </c>
      <c r="H42">
        <v>323181</v>
      </c>
      <c r="I42">
        <v>334972</v>
      </c>
      <c r="J42">
        <v>345113</v>
      </c>
      <c r="K42">
        <v>353295</v>
      </c>
      <c r="L42">
        <v>359897</v>
      </c>
      <c r="M42">
        <v>368784</v>
      </c>
      <c r="N42">
        <v>379402</v>
      </c>
      <c r="O42">
        <v>385138</v>
      </c>
      <c r="P42">
        <v>396118</v>
      </c>
      <c r="Q42">
        <v>404731</v>
      </c>
      <c r="R42">
        <v>416335</v>
      </c>
      <c r="S42">
        <v>429071</v>
      </c>
      <c r="T42">
        <v>439605</v>
      </c>
      <c r="U42">
        <v>446263</v>
      </c>
      <c r="V42">
        <v>450678</v>
      </c>
      <c r="W42">
        <v>450301</v>
      </c>
      <c r="X42">
        <v>436578</v>
      </c>
      <c r="Y42">
        <v>429411</v>
      </c>
      <c r="Z42">
        <v>435910</v>
      </c>
      <c r="AA42">
        <v>456068</v>
      </c>
      <c r="AB42">
        <v>492635</v>
      </c>
      <c r="AC42">
        <v>551629</v>
      </c>
      <c r="AD42">
        <v>629281</v>
      </c>
      <c r="AE42">
        <v>687336</v>
      </c>
      <c r="AF42">
        <v>736966</v>
      </c>
      <c r="AG42">
        <v>776424</v>
      </c>
      <c r="AH42">
        <v>815063</v>
      </c>
      <c r="AI42">
        <v>832299</v>
      </c>
      <c r="AJ42">
        <v>847162</v>
      </c>
      <c r="AK42">
        <v>866629</v>
      </c>
      <c r="AL42">
        <v>886843</v>
      </c>
      <c r="AM42">
        <v>900035</v>
      </c>
      <c r="AN42">
        <v>912538</v>
      </c>
      <c r="AO42">
        <v>931153</v>
      </c>
      <c r="AP42">
        <v>945023</v>
      </c>
      <c r="AQ42">
        <v>950826</v>
      </c>
      <c r="AR42">
        <v>952402</v>
      </c>
      <c r="AS42">
        <v>954537</v>
      </c>
      <c r="AT42">
        <v>939746</v>
      </c>
      <c r="AU42">
        <v>931020</v>
      </c>
      <c r="AV42">
        <v>927363</v>
      </c>
      <c r="AW42">
        <v>926007</v>
      </c>
      <c r="AX42">
        <v>918614</v>
      </c>
      <c r="AY42">
        <v>920566</v>
      </c>
      <c r="AZ42">
        <v>912359</v>
      </c>
      <c r="BA42" s="3">
        <v>904621</v>
      </c>
      <c r="BB42" s="3">
        <v>898799</v>
      </c>
      <c r="BC42">
        <v>919349</v>
      </c>
      <c r="BD42">
        <v>934008</v>
      </c>
      <c r="BE42">
        <v>967449</v>
      </c>
      <c r="BF42">
        <v>998655</v>
      </c>
      <c r="BG42">
        <v>1021281</v>
      </c>
      <c r="BH42">
        <v>1017766</v>
      </c>
      <c r="BI42">
        <v>1024625</v>
      </c>
      <c r="BJ42">
        <v>1010593</v>
      </c>
      <c r="BK42">
        <v>984542</v>
      </c>
      <c r="BL42">
        <v>948370</v>
      </c>
      <c r="BM42">
        <v>890934</v>
      </c>
      <c r="BN42">
        <v>839666</v>
      </c>
      <c r="BO42">
        <v>814648</v>
      </c>
      <c r="BP42">
        <v>781944</v>
      </c>
      <c r="BQ42">
        <v>773062</v>
      </c>
      <c r="BR42">
        <v>776176</v>
      </c>
      <c r="BS42">
        <v>779042</v>
      </c>
      <c r="BT42">
        <v>772197</v>
      </c>
      <c r="BU42">
        <v>777773</v>
      </c>
      <c r="BV42">
        <v>774978</v>
      </c>
      <c r="BW42">
        <v>778484</v>
      </c>
      <c r="BX42">
        <v>781365</v>
      </c>
      <c r="BY42">
        <v>754037</v>
      </c>
      <c r="BZ42">
        <v>735868</v>
      </c>
      <c r="CA42">
        <v>726861</v>
      </c>
      <c r="CB42">
        <v>696938</v>
      </c>
      <c r="CC42">
        <v>661153</v>
      </c>
      <c r="CD42">
        <v>642050</v>
      </c>
      <c r="CE42">
        <v>612288</v>
      </c>
      <c r="CF42">
        <v>567762</v>
      </c>
      <c r="CG42">
        <v>544448</v>
      </c>
      <c r="CH42">
        <v>526036</v>
      </c>
      <c r="CI42">
        <v>513354</v>
      </c>
      <c r="CJ42" s="5">
        <v>503231</v>
      </c>
      <c r="CK42">
        <v>484856</v>
      </c>
      <c r="CL42">
        <v>482772</v>
      </c>
      <c r="CM42">
        <v>498735</v>
      </c>
      <c r="CN42">
        <v>499441</v>
      </c>
      <c r="CO42">
        <v>510096</v>
      </c>
      <c r="CP42">
        <v>533233</v>
      </c>
      <c r="CQ42">
        <v>538681</v>
      </c>
      <c r="CR42">
        <v>520843</v>
      </c>
      <c r="CS42">
        <v>515020</v>
      </c>
      <c r="CT42">
        <v>498169</v>
      </c>
      <c r="CU42">
        <v>474362</v>
      </c>
      <c r="CV42">
        <v>451420</v>
      </c>
      <c r="CW42">
        <v>425107</v>
      </c>
      <c r="CX42">
        <v>402065</v>
      </c>
      <c r="CY42">
        <v>384590</v>
      </c>
      <c r="CZ42">
        <v>369832</v>
      </c>
    </row>
    <row r="43" spans="1:104" x14ac:dyDescent="0.3">
      <c r="A43" t="s">
        <v>12</v>
      </c>
      <c r="B43" t="s">
        <v>36</v>
      </c>
      <c r="C43" t="s">
        <v>24</v>
      </c>
      <c r="D43">
        <v>213902</v>
      </c>
      <c r="E43">
        <v>228075</v>
      </c>
      <c r="F43">
        <v>240321</v>
      </c>
      <c r="G43">
        <v>250487</v>
      </c>
      <c r="H43">
        <v>260992</v>
      </c>
      <c r="I43">
        <v>271937</v>
      </c>
      <c r="J43">
        <v>281341</v>
      </c>
      <c r="K43">
        <v>289342</v>
      </c>
      <c r="L43">
        <v>303303</v>
      </c>
      <c r="M43">
        <v>315662</v>
      </c>
      <c r="N43">
        <v>328450</v>
      </c>
      <c r="O43">
        <v>338098</v>
      </c>
      <c r="P43">
        <v>346037</v>
      </c>
      <c r="Q43">
        <v>352867</v>
      </c>
      <c r="R43">
        <v>362162</v>
      </c>
      <c r="S43">
        <v>372571</v>
      </c>
      <c r="T43">
        <v>378909</v>
      </c>
      <c r="U43">
        <v>391966</v>
      </c>
      <c r="V43">
        <v>401159</v>
      </c>
      <c r="W43">
        <v>411001</v>
      </c>
      <c r="X43">
        <v>423910</v>
      </c>
      <c r="Y43">
        <v>434824</v>
      </c>
      <c r="Z43">
        <v>438999</v>
      </c>
      <c r="AA43">
        <v>443576</v>
      </c>
      <c r="AB43">
        <v>439224</v>
      </c>
      <c r="AC43">
        <v>421684</v>
      </c>
      <c r="AD43">
        <v>411471</v>
      </c>
      <c r="AE43">
        <v>422080</v>
      </c>
      <c r="AF43">
        <v>445194</v>
      </c>
      <c r="AG43">
        <v>484739</v>
      </c>
      <c r="AH43">
        <v>545257</v>
      </c>
      <c r="AI43">
        <v>623115</v>
      </c>
      <c r="AJ43">
        <v>679977</v>
      </c>
      <c r="AK43">
        <v>727398</v>
      </c>
      <c r="AL43">
        <v>766611</v>
      </c>
      <c r="AM43">
        <v>805313</v>
      </c>
      <c r="AN43">
        <v>825295</v>
      </c>
      <c r="AO43">
        <v>841159</v>
      </c>
      <c r="AP43">
        <v>862593</v>
      </c>
      <c r="AQ43">
        <v>883697</v>
      </c>
      <c r="AR43">
        <v>896683</v>
      </c>
      <c r="AS43">
        <v>907285</v>
      </c>
      <c r="AT43">
        <v>926068</v>
      </c>
      <c r="AU43">
        <v>939840</v>
      </c>
      <c r="AV43">
        <v>944225</v>
      </c>
      <c r="AW43">
        <v>945217</v>
      </c>
      <c r="AX43">
        <v>946932</v>
      </c>
      <c r="AY43">
        <v>932286</v>
      </c>
      <c r="AZ43">
        <v>923919</v>
      </c>
      <c r="BA43" s="3">
        <v>920541</v>
      </c>
      <c r="BB43" s="3">
        <v>917980</v>
      </c>
      <c r="BC43">
        <v>904568</v>
      </c>
      <c r="BD43">
        <v>905619</v>
      </c>
      <c r="BE43">
        <v>904583</v>
      </c>
      <c r="BF43">
        <v>897970</v>
      </c>
      <c r="BG43">
        <v>893635</v>
      </c>
      <c r="BH43">
        <v>920085</v>
      </c>
      <c r="BI43">
        <v>934948</v>
      </c>
      <c r="BJ43">
        <v>959491</v>
      </c>
      <c r="BK43">
        <v>989119</v>
      </c>
      <c r="BL43">
        <v>1011795</v>
      </c>
      <c r="BM43">
        <v>1009295</v>
      </c>
      <c r="BN43">
        <v>1017218</v>
      </c>
      <c r="BO43">
        <v>1004302</v>
      </c>
      <c r="BP43">
        <v>978568</v>
      </c>
      <c r="BQ43">
        <v>942787</v>
      </c>
      <c r="BR43">
        <v>885913</v>
      </c>
      <c r="BS43">
        <v>835153</v>
      </c>
      <c r="BT43">
        <v>810426</v>
      </c>
      <c r="BU43">
        <v>778054</v>
      </c>
      <c r="BV43">
        <v>769312</v>
      </c>
      <c r="BW43">
        <v>772453</v>
      </c>
      <c r="BX43">
        <v>775350</v>
      </c>
      <c r="BY43">
        <v>768638</v>
      </c>
      <c r="BZ43">
        <v>774232</v>
      </c>
      <c r="CA43">
        <v>771525</v>
      </c>
      <c r="CB43">
        <v>775048</v>
      </c>
      <c r="CC43">
        <v>777940</v>
      </c>
      <c r="CD43">
        <v>750817</v>
      </c>
      <c r="CE43">
        <v>732779</v>
      </c>
      <c r="CF43">
        <v>723832</v>
      </c>
      <c r="CG43">
        <v>694105</v>
      </c>
      <c r="CH43">
        <v>658569</v>
      </c>
      <c r="CI43">
        <v>639590</v>
      </c>
      <c r="CJ43" s="5">
        <v>610038</v>
      </c>
      <c r="CK43">
        <v>565841</v>
      </c>
      <c r="CL43">
        <v>542693</v>
      </c>
      <c r="CM43">
        <v>524415</v>
      </c>
      <c r="CN43">
        <v>511820</v>
      </c>
      <c r="CO43">
        <v>501761</v>
      </c>
      <c r="CP43">
        <v>483512</v>
      </c>
      <c r="CQ43">
        <v>481434</v>
      </c>
      <c r="CR43">
        <v>497274</v>
      </c>
      <c r="CS43">
        <v>497959</v>
      </c>
      <c r="CT43">
        <v>508519</v>
      </c>
      <c r="CU43">
        <v>531457</v>
      </c>
      <c r="CV43">
        <v>536843</v>
      </c>
      <c r="CW43">
        <v>519131</v>
      </c>
      <c r="CX43">
        <v>513333</v>
      </c>
      <c r="CY43">
        <v>496598</v>
      </c>
      <c r="CZ43">
        <v>472963</v>
      </c>
    </row>
    <row r="44" spans="1:104" x14ac:dyDescent="0.3">
      <c r="A44" t="s">
        <v>12</v>
      </c>
      <c r="B44" t="s">
        <v>36</v>
      </c>
      <c r="C44" t="s">
        <v>25</v>
      </c>
      <c r="D44">
        <v>186467</v>
      </c>
      <c r="E44">
        <v>187008</v>
      </c>
      <c r="F44">
        <v>190418</v>
      </c>
      <c r="G44">
        <v>193727</v>
      </c>
      <c r="H44">
        <v>197141</v>
      </c>
      <c r="I44">
        <v>205265</v>
      </c>
      <c r="J44">
        <v>219453</v>
      </c>
      <c r="K44">
        <v>230191</v>
      </c>
      <c r="L44">
        <v>240554</v>
      </c>
      <c r="M44">
        <v>251828</v>
      </c>
      <c r="N44">
        <v>263468</v>
      </c>
      <c r="O44">
        <v>271813</v>
      </c>
      <c r="P44">
        <v>280549</v>
      </c>
      <c r="Q44">
        <v>293298</v>
      </c>
      <c r="R44">
        <v>305711</v>
      </c>
      <c r="S44">
        <v>318463</v>
      </c>
      <c r="T44">
        <v>328412</v>
      </c>
      <c r="U44">
        <v>338390</v>
      </c>
      <c r="V44">
        <v>345160</v>
      </c>
      <c r="W44">
        <v>353725</v>
      </c>
      <c r="X44">
        <v>362900</v>
      </c>
      <c r="Y44">
        <v>369210</v>
      </c>
      <c r="Z44">
        <v>380987</v>
      </c>
      <c r="AA44">
        <v>388944</v>
      </c>
      <c r="AB44">
        <v>398378</v>
      </c>
      <c r="AC44">
        <v>409795</v>
      </c>
      <c r="AD44">
        <v>419368</v>
      </c>
      <c r="AE44">
        <v>424799</v>
      </c>
      <c r="AF44">
        <v>430770</v>
      </c>
      <c r="AG44">
        <v>429154</v>
      </c>
      <c r="AH44">
        <v>412352</v>
      </c>
      <c r="AI44">
        <v>403732</v>
      </c>
      <c r="AJ44">
        <v>414160</v>
      </c>
      <c r="AK44">
        <v>436233</v>
      </c>
      <c r="AL44">
        <v>475800</v>
      </c>
      <c r="AM44">
        <v>535893</v>
      </c>
      <c r="AN44">
        <v>614591</v>
      </c>
      <c r="AO44">
        <v>672051</v>
      </c>
      <c r="AP44">
        <v>720458</v>
      </c>
      <c r="AQ44">
        <v>760244</v>
      </c>
      <c r="AR44">
        <v>798855</v>
      </c>
      <c r="AS44">
        <v>817458</v>
      </c>
      <c r="AT44">
        <v>833060</v>
      </c>
      <c r="AU44">
        <v>853482</v>
      </c>
      <c r="AV44">
        <v>873221</v>
      </c>
      <c r="AW44">
        <v>885662</v>
      </c>
      <c r="AX44">
        <v>895613</v>
      </c>
      <c r="AY44">
        <v>914005</v>
      </c>
      <c r="AZ44">
        <v>927932</v>
      </c>
      <c r="BA44" s="3">
        <v>933118</v>
      </c>
      <c r="BB44" s="3">
        <v>932737</v>
      </c>
      <c r="BC44">
        <v>927991</v>
      </c>
      <c r="BD44">
        <v>913387</v>
      </c>
      <c r="BE44">
        <v>911937</v>
      </c>
      <c r="BF44">
        <v>909377</v>
      </c>
      <c r="BG44">
        <v>908211</v>
      </c>
      <c r="BH44">
        <v>900795</v>
      </c>
      <c r="BI44">
        <v>902441</v>
      </c>
      <c r="BJ44">
        <v>894170</v>
      </c>
      <c r="BK44">
        <v>886454</v>
      </c>
      <c r="BL44">
        <v>882508</v>
      </c>
      <c r="BM44">
        <v>909369</v>
      </c>
      <c r="BN44">
        <v>924960</v>
      </c>
      <c r="BO44">
        <v>950091</v>
      </c>
      <c r="BP44">
        <v>979521</v>
      </c>
      <c r="BQ44">
        <v>1002062</v>
      </c>
      <c r="BR44">
        <v>999760</v>
      </c>
      <c r="BS44">
        <v>1007721</v>
      </c>
      <c r="BT44">
        <v>995060</v>
      </c>
      <c r="BU44">
        <v>969720</v>
      </c>
      <c r="BV44">
        <v>934417</v>
      </c>
      <c r="BW44">
        <v>878227</v>
      </c>
      <c r="BX44">
        <v>828098</v>
      </c>
      <c r="BY44">
        <v>803761</v>
      </c>
      <c r="BZ44">
        <v>771840</v>
      </c>
      <c r="CA44">
        <v>763315</v>
      </c>
      <c r="CB44">
        <v>766507</v>
      </c>
      <c r="CC44">
        <v>769449</v>
      </c>
      <c r="CD44">
        <v>762889</v>
      </c>
      <c r="CE44">
        <v>768479</v>
      </c>
      <c r="CF44">
        <v>765848</v>
      </c>
      <c r="CG44">
        <v>769373</v>
      </c>
      <c r="CH44">
        <v>772269</v>
      </c>
      <c r="CI44">
        <v>745408</v>
      </c>
      <c r="CJ44" s="5">
        <v>727556</v>
      </c>
      <c r="CK44">
        <v>718727</v>
      </c>
      <c r="CL44">
        <v>689298</v>
      </c>
      <c r="CM44">
        <v>654111</v>
      </c>
      <c r="CN44">
        <v>635305</v>
      </c>
      <c r="CO44">
        <v>606026</v>
      </c>
      <c r="CP44">
        <v>562247</v>
      </c>
      <c r="CQ44">
        <v>539323</v>
      </c>
      <c r="CR44">
        <v>521227</v>
      </c>
      <c r="CS44">
        <v>508760</v>
      </c>
      <c r="CT44">
        <v>498806</v>
      </c>
      <c r="CU44">
        <v>480724</v>
      </c>
      <c r="CV44">
        <v>478683</v>
      </c>
      <c r="CW44">
        <v>494405</v>
      </c>
      <c r="CX44">
        <v>495099</v>
      </c>
      <c r="CY44">
        <v>505592</v>
      </c>
      <c r="CZ44">
        <v>528350</v>
      </c>
    </row>
    <row r="45" spans="1:104" x14ac:dyDescent="0.3">
      <c r="A45" t="s">
        <v>12</v>
      </c>
      <c r="B45" t="s">
        <v>36</v>
      </c>
      <c r="C45" t="s">
        <v>26</v>
      </c>
      <c r="D45">
        <v>142937</v>
      </c>
      <c r="E45">
        <v>150828</v>
      </c>
      <c r="F45">
        <v>159847</v>
      </c>
      <c r="G45">
        <v>166440</v>
      </c>
      <c r="H45">
        <v>171337</v>
      </c>
      <c r="I45">
        <v>174462</v>
      </c>
      <c r="J45">
        <v>176230</v>
      </c>
      <c r="K45">
        <v>179239</v>
      </c>
      <c r="L45">
        <v>182727</v>
      </c>
      <c r="M45">
        <v>186481</v>
      </c>
      <c r="N45">
        <v>195323</v>
      </c>
      <c r="O45">
        <v>208212</v>
      </c>
      <c r="P45">
        <v>218943</v>
      </c>
      <c r="Q45">
        <v>228244</v>
      </c>
      <c r="R45">
        <v>239719</v>
      </c>
      <c r="S45">
        <v>250690</v>
      </c>
      <c r="T45">
        <v>260298</v>
      </c>
      <c r="U45">
        <v>269927</v>
      </c>
      <c r="V45">
        <v>281938</v>
      </c>
      <c r="W45">
        <v>293930</v>
      </c>
      <c r="X45">
        <v>305387</v>
      </c>
      <c r="Y45">
        <v>316061</v>
      </c>
      <c r="Z45">
        <v>323860</v>
      </c>
      <c r="AA45">
        <v>330204</v>
      </c>
      <c r="AB45">
        <v>336729</v>
      </c>
      <c r="AC45">
        <v>345121</v>
      </c>
      <c r="AD45">
        <v>351556</v>
      </c>
      <c r="AE45">
        <v>362918</v>
      </c>
      <c r="AF45">
        <v>373079</v>
      </c>
      <c r="AG45">
        <v>384148</v>
      </c>
      <c r="AH45">
        <v>395783</v>
      </c>
      <c r="AI45">
        <v>406304</v>
      </c>
      <c r="AJ45">
        <v>411422</v>
      </c>
      <c r="AK45">
        <v>416895</v>
      </c>
      <c r="AL45">
        <v>415739</v>
      </c>
      <c r="AM45">
        <v>399992</v>
      </c>
      <c r="AN45">
        <v>392948</v>
      </c>
      <c r="AO45">
        <v>404197</v>
      </c>
      <c r="AP45">
        <v>427415</v>
      </c>
      <c r="AQ45">
        <v>466877</v>
      </c>
      <c r="AR45">
        <v>526541</v>
      </c>
      <c r="AS45">
        <v>603327</v>
      </c>
      <c r="AT45">
        <v>659867</v>
      </c>
      <c r="AU45">
        <v>707033</v>
      </c>
      <c r="AV45">
        <v>745699</v>
      </c>
      <c r="AW45">
        <v>783336</v>
      </c>
      <c r="AX45">
        <v>801429</v>
      </c>
      <c r="AY45">
        <v>816892</v>
      </c>
      <c r="AZ45">
        <v>837079</v>
      </c>
      <c r="BA45" s="3">
        <v>856841</v>
      </c>
      <c r="BB45" s="3">
        <v>867175</v>
      </c>
      <c r="BC45">
        <v>869767</v>
      </c>
      <c r="BD45">
        <v>887917</v>
      </c>
      <c r="BE45">
        <v>909622</v>
      </c>
      <c r="BF45">
        <v>915805</v>
      </c>
      <c r="BG45">
        <v>917010</v>
      </c>
      <c r="BH45">
        <v>918970</v>
      </c>
      <c r="BI45">
        <v>904838</v>
      </c>
      <c r="BJ45">
        <v>896826</v>
      </c>
      <c r="BK45">
        <v>893529</v>
      </c>
      <c r="BL45">
        <v>892704</v>
      </c>
      <c r="BM45">
        <v>885830</v>
      </c>
      <c r="BN45">
        <v>887850</v>
      </c>
      <c r="BO45">
        <v>880140</v>
      </c>
      <c r="BP45">
        <v>872782</v>
      </c>
      <c r="BQ45">
        <v>869141</v>
      </c>
      <c r="BR45">
        <v>895862</v>
      </c>
      <c r="BS45">
        <v>911427</v>
      </c>
      <c r="BT45">
        <v>936392</v>
      </c>
      <c r="BU45">
        <v>965582</v>
      </c>
      <c r="BV45">
        <v>987984</v>
      </c>
      <c r="BW45">
        <v>985954</v>
      </c>
      <c r="BX45">
        <v>993996</v>
      </c>
      <c r="BY45">
        <v>981705</v>
      </c>
      <c r="BZ45">
        <v>956915</v>
      </c>
      <c r="CA45">
        <v>922278</v>
      </c>
      <c r="CB45">
        <v>867015</v>
      </c>
      <c r="CC45">
        <v>817739</v>
      </c>
      <c r="CD45">
        <v>793931</v>
      </c>
      <c r="CE45">
        <v>762598</v>
      </c>
      <c r="CF45">
        <v>754349</v>
      </c>
      <c r="CG45">
        <v>757623</v>
      </c>
      <c r="CH45">
        <v>760655</v>
      </c>
      <c r="CI45">
        <v>754330</v>
      </c>
      <c r="CJ45" s="5">
        <v>759984</v>
      </c>
      <c r="CK45">
        <v>757527</v>
      </c>
      <c r="CL45">
        <v>761138</v>
      </c>
      <c r="CM45">
        <v>764126</v>
      </c>
      <c r="CN45">
        <v>737666</v>
      </c>
      <c r="CO45">
        <v>720125</v>
      </c>
      <c r="CP45">
        <v>711526</v>
      </c>
      <c r="CQ45">
        <v>682525</v>
      </c>
      <c r="CR45">
        <v>647818</v>
      </c>
      <c r="CS45">
        <v>629284</v>
      </c>
      <c r="CT45">
        <v>600402</v>
      </c>
      <c r="CU45">
        <v>557167</v>
      </c>
      <c r="CV45">
        <v>534560</v>
      </c>
      <c r="CW45">
        <v>516728</v>
      </c>
      <c r="CX45">
        <v>504459</v>
      </c>
      <c r="CY45">
        <v>494672</v>
      </c>
      <c r="CZ45">
        <v>476819</v>
      </c>
    </row>
    <row r="46" spans="1:104" x14ac:dyDescent="0.3">
      <c r="A46" t="s">
        <v>12</v>
      </c>
      <c r="B46" t="s">
        <v>36</v>
      </c>
      <c r="C46" t="s">
        <v>27</v>
      </c>
      <c r="D46">
        <v>101266</v>
      </c>
      <c r="E46">
        <v>106460</v>
      </c>
      <c r="F46">
        <v>112117</v>
      </c>
      <c r="G46">
        <v>117646</v>
      </c>
      <c r="H46">
        <v>124081</v>
      </c>
      <c r="I46">
        <v>129244</v>
      </c>
      <c r="J46">
        <v>136640</v>
      </c>
      <c r="K46">
        <v>144040</v>
      </c>
      <c r="L46">
        <v>150915</v>
      </c>
      <c r="M46">
        <v>156448</v>
      </c>
      <c r="N46">
        <v>160336</v>
      </c>
      <c r="O46">
        <v>161868</v>
      </c>
      <c r="P46">
        <v>164704</v>
      </c>
      <c r="Q46">
        <v>167332</v>
      </c>
      <c r="R46">
        <v>171726</v>
      </c>
      <c r="S46">
        <v>179629</v>
      </c>
      <c r="T46">
        <v>192440</v>
      </c>
      <c r="U46">
        <v>203687</v>
      </c>
      <c r="V46">
        <v>212454</v>
      </c>
      <c r="W46">
        <v>222537</v>
      </c>
      <c r="X46">
        <v>234097</v>
      </c>
      <c r="Y46">
        <v>243261</v>
      </c>
      <c r="Z46">
        <v>251206</v>
      </c>
      <c r="AA46">
        <v>263473</v>
      </c>
      <c r="AB46">
        <v>272780</v>
      </c>
      <c r="AC46">
        <v>283182</v>
      </c>
      <c r="AD46">
        <v>291627</v>
      </c>
      <c r="AE46">
        <v>300615</v>
      </c>
      <c r="AF46">
        <v>307840</v>
      </c>
      <c r="AG46">
        <v>316618</v>
      </c>
      <c r="AH46">
        <v>325651</v>
      </c>
      <c r="AI46">
        <v>332488</v>
      </c>
      <c r="AJ46">
        <v>343363</v>
      </c>
      <c r="AK46">
        <v>353047</v>
      </c>
      <c r="AL46">
        <v>364301</v>
      </c>
      <c r="AM46">
        <v>376000</v>
      </c>
      <c r="AN46">
        <v>387384</v>
      </c>
      <c r="AO46">
        <v>393262</v>
      </c>
      <c r="AP46">
        <v>399815</v>
      </c>
      <c r="AQ46">
        <v>399612</v>
      </c>
      <c r="AR46">
        <v>385297</v>
      </c>
      <c r="AS46">
        <v>379048</v>
      </c>
      <c r="AT46">
        <v>390644</v>
      </c>
      <c r="AU46">
        <v>413650</v>
      </c>
      <c r="AV46">
        <v>452297</v>
      </c>
      <c r="AW46">
        <v>510195</v>
      </c>
      <c r="AX46">
        <v>584539</v>
      </c>
      <c r="AY46">
        <v>639547</v>
      </c>
      <c r="AZ46">
        <v>685621</v>
      </c>
      <c r="BA46" s="3">
        <v>723850</v>
      </c>
      <c r="BB46" s="3">
        <v>758749</v>
      </c>
      <c r="BC46">
        <v>768486</v>
      </c>
      <c r="BD46">
        <v>783315</v>
      </c>
      <c r="BE46">
        <v>811514</v>
      </c>
      <c r="BF46">
        <v>832364</v>
      </c>
      <c r="BG46">
        <v>843719</v>
      </c>
      <c r="BH46">
        <v>853774</v>
      </c>
      <c r="BI46">
        <v>872126</v>
      </c>
      <c r="BJ46">
        <v>886216</v>
      </c>
      <c r="BK46">
        <v>891330</v>
      </c>
      <c r="BL46">
        <v>893012</v>
      </c>
      <c r="BM46">
        <v>895189</v>
      </c>
      <c r="BN46">
        <v>881776</v>
      </c>
      <c r="BO46">
        <v>874460</v>
      </c>
      <c r="BP46">
        <v>871669</v>
      </c>
      <c r="BQ46">
        <v>871267</v>
      </c>
      <c r="BR46">
        <v>864964</v>
      </c>
      <c r="BS46">
        <v>867192</v>
      </c>
      <c r="BT46">
        <v>859989</v>
      </c>
      <c r="BU46">
        <v>853160</v>
      </c>
      <c r="BV46">
        <v>849995</v>
      </c>
      <c r="BW46">
        <v>876632</v>
      </c>
      <c r="BX46">
        <v>892210</v>
      </c>
      <c r="BY46">
        <v>916967</v>
      </c>
      <c r="BZ46">
        <v>945842</v>
      </c>
      <c r="CA46">
        <v>968012</v>
      </c>
      <c r="CB46">
        <v>966451</v>
      </c>
      <c r="CC46">
        <v>974611</v>
      </c>
      <c r="CD46">
        <v>962833</v>
      </c>
      <c r="CE46">
        <v>938818</v>
      </c>
      <c r="CF46">
        <v>905083</v>
      </c>
      <c r="CG46">
        <v>851086</v>
      </c>
      <c r="CH46">
        <v>803025</v>
      </c>
      <c r="CI46">
        <v>780030</v>
      </c>
      <c r="CJ46" s="5">
        <v>749597</v>
      </c>
      <c r="CK46">
        <v>741850</v>
      </c>
      <c r="CL46">
        <v>745268</v>
      </c>
      <c r="CM46">
        <v>748443</v>
      </c>
      <c r="CN46">
        <v>742530</v>
      </c>
      <c r="CO46">
        <v>748296</v>
      </c>
      <c r="CP46">
        <v>746148</v>
      </c>
      <c r="CQ46">
        <v>749917</v>
      </c>
      <c r="CR46">
        <v>753074</v>
      </c>
      <c r="CS46">
        <v>727153</v>
      </c>
      <c r="CT46">
        <v>710035</v>
      </c>
      <c r="CU46">
        <v>701798</v>
      </c>
      <c r="CV46">
        <v>673396</v>
      </c>
      <c r="CW46">
        <v>639392</v>
      </c>
      <c r="CX46">
        <v>621189</v>
      </c>
      <c r="CY46">
        <v>592805</v>
      </c>
      <c r="CZ46">
        <v>550350</v>
      </c>
    </row>
    <row r="47" spans="1:104" x14ac:dyDescent="0.3">
      <c r="A47" t="s">
        <v>12</v>
      </c>
      <c r="B47" t="s">
        <v>36</v>
      </c>
      <c r="C47" t="s">
        <v>28</v>
      </c>
      <c r="D47">
        <v>66959</v>
      </c>
      <c r="E47">
        <v>71452</v>
      </c>
      <c r="F47">
        <v>75904</v>
      </c>
      <c r="G47">
        <v>76874</v>
      </c>
      <c r="H47">
        <v>80645</v>
      </c>
      <c r="I47">
        <v>85056</v>
      </c>
      <c r="J47">
        <v>90218</v>
      </c>
      <c r="K47">
        <v>94490</v>
      </c>
      <c r="L47">
        <v>99968</v>
      </c>
      <c r="M47">
        <v>106064</v>
      </c>
      <c r="N47">
        <v>111672</v>
      </c>
      <c r="O47">
        <v>117914</v>
      </c>
      <c r="P47">
        <v>124019</v>
      </c>
      <c r="Q47">
        <v>129986</v>
      </c>
      <c r="R47">
        <v>135332</v>
      </c>
      <c r="S47">
        <v>138799</v>
      </c>
      <c r="T47">
        <v>140482</v>
      </c>
      <c r="U47">
        <v>144341</v>
      </c>
      <c r="V47">
        <v>147982</v>
      </c>
      <c r="W47">
        <v>151407</v>
      </c>
      <c r="X47">
        <v>158691</v>
      </c>
      <c r="Y47">
        <v>170854</v>
      </c>
      <c r="Z47">
        <v>180376</v>
      </c>
      <c r="AA47">
        <v>188456</v>
      </c>
      <c r="AB47">
        <v>196919</v>
      </c>
      <c r="AC47">
        <v>205377</v>
      </c>
      <c r="AD47">
        <v>212786</v>
      </c>
      <c r="AE47">
        <v>221874</v>
      </c>
      <c r="AF47">
        <v>234276</v>
      </c>
      <c r="AG47">
        <v>245233</v>
      </c>
      <c r="AH47">
        <v>255964</v>
      </c>
      <c r="AI47">
        <v>265028</v>
      </c>
      <c r="AJ47">
        <v>273226</v>
      </c>
      <c r="AK47">
        <v>280141</v>
      </c>
      <c r="AL47">
        <v>289004</v>
      </c>
      <c r="AM47">
        <v>298044</v>
      </c>
      <c r="AN47">
        <v>305620</v>
      </c>
      <c r="AO47">
        <v>316716</v>
      </c>
      <c r="AP47">
        <v>326636</v>
      </c>
      <c r="AQ47">
        <v>338240</v>
      </c>
      <c r="AR47">
        <v>350116</v>
      </c>
      <c r="AS47">
        <v>361279</v>
      </c>
      <c r="AT47">
        <v>367737</v>
      </c>
      <c r="AU47">
        <v>374216</v>
      </c>
      <c r="AV47">
        <v>374616</v>
      </c>
      <c r="AW47">
        <v>361402</v>
      </c>
      <c r="AX47">
        <v>356058</v>
      </c>
      <c r="AY47">
        <v>367601</v>
      </c>
      <c r="AZ47">
        <v>390128</v>
      </c>
      <c r="BA47" s="3">
        <v>427808</v>
      </c>
      <c r="BB47" s="3">
        <v>481862</v>
      </c>
      <c r="BC47">
        <v>546437</v>
      </c>
      <c r="BD47">
        <v>597360</v>
      </c>
      <c r="BE47">
        <v>649234</v>
      </c>
      <c r="BF47">
        <v>687150</v>
      </c>
      <c r="BG47">
        <v>720752</v>
      </c>
      <c r="BH47">
        <v>737842</v>
      </c>
      <c r="BI47">
        <v>751998</v>
      </c>
      <c r="BJ47">
        <v>770703</v>
      </c>
      <c r="BK47">
        <v>789261</v>
      </c>
      <c r="BL47">
        <v>801509</v>
      </c>
      <c r="BM47">
        <v>811637</v>
      </c>
      <c r="BN47">
        <v>829440</v>
      </c>
      <c r="BO47">
        <v>843310</v>
      </c>
      <c r="BP47">
        <v>848791</v>
      </c>
      <c r="BQ47">
        <v>850962</v>
      </c>
      <c r="BR47">
        <v>853636</v>
      </c>
      <c r="BS47">
        <v>841328</v>
      </c>
      <c r="BT47">
        <v>835039</v>
      </c>
      <c r="BU47">
        <v>833045</v>
      </c>
      <c r="BV47">
        <v>833293</v>
      </c>
      <c r="BW47">
        <v>827878</v>
      </c>
      <c r="BX47">
        <v>830428</v>
      </c>
      <c r="BY47">
        <v>824055</v>
      </c>
      <c r="BZ47">
        <v>818085</v>
      </c>
      <c r="CA47">
        <v>815673</v>
      </c>
      <c r="CB47">
        <v>842058</v>
      </c>
      <c r="CC47">
        <v>857528</v>
      </c>
      <c r="CD47">
        <v>881857</v>
      </c>
      <c r="CE47">
        <v>910135</v>
      </c>
      <c r="CF47">
        <v>931876</v>
      </c>
      <c r="CG47">
        <v>931039</v>
      </c>
      <c r="CH47">
        <v>939345</v>
      </c>
      <c r="CI47">
        <v>928407</v>
      </c>
      <c r="CJ47" s="5">
        <v>905707</v>
      </c>
      <c r="CK47">
        <v>873543</v>
      </c>
      <c r="CL47">
        <v>821771</v>
      </c>
      <c r="CM47">
        <v>775847</v>
      </c>
      <c r="CN47">
        <v>754268</v>
      </c>
      <c r="CO47">
        <v>725351</v>
      </c>
      <c r="CP47">
        <v>718406</v>
      </c>
      <c r="CQ47">
        <v>722021</v>
      </c>
      <c r="CR47">
        <v>725409</v>
      </c>
      <c r="CS47">
        <v>720159</v>
      </c>
      <c r="CT47">
        <v>726075</v>
      </c>
      <c r="CU47">
        <v>724411</v>
      </c>
      <c r="CV47">
        <v>728404</v>
      </c>
      <c r="CW47">
        <v>731802</v>
      </c>
      <c r="CX47">
        <v>706792</v>
      </c>
      <c r="CY47">
        <v>690436</v>
      </c>
      <c r="CZ47">
        <v>682851</v>
      </c>
    </row>
    <row r="48" spans="1:104" x14ac:dyDescent="0.3">
      <c r="A48" t="s">
        <v>12</v>
      </c>
      <c r="B48" t="s">
        <v>36</v>
      </c>
      <c r="C48" t="s">
        <v>29</v>
      </c>
      <c r="D48">
        <v>37583</v>
      </c>
      <c r="E48">
        <v>39193</v>
      </c>
      <c r="F48">
        <v>41587</v>
      </c>
      <c r="G48">
        <v>45041</v>
      </c>
      <c r="H48">
        <v>47461</v>
      </c>
      <c r="I48">
        <v>50306</v>
      </c>
      <c r="J48">
        <v>54008</v>
      </c>
      <c r="K48">
        <v>56953</v>
      </c>
      <c r="L48">
        <v>57985</v>
      </c>
      <c r="M48">
        <v>61318</v>
      </c>
      <c r="N48">
        <v>65555</v>
      </c>
      <c r="O48">
        <v>69378</v>
      </c>
      <c r="P48">
        <v>73291</v>
      </c>
      <c r="Q48">
        <v>77079</v>
      </c>
      <c r="R48">
        <v>82324</v>
      </c>
      <c r="S48">
        <v>87346</v>
      </c>
      <c r="T48">
        <v>91838</v>
      </c>
      <c r="U48">
        <v>97580</v>
      </c>
      <c r="V48">
        <v>102677</v>
      </c>
      <c r="W48">
        <v>106856</v>
      </c>
      <c r="X48">
        <v>109717</v>
      </c>
      <c r="Y48">
        <v>112290</v>
      </c>
      <c r="Z48">
        <v>115916</v>
      </c>
      <c r="AA48">
        <v>118992</v>
      </c>
      <c r="AB48">
        <v>121847</v>
      </c>
      <c r="AC48">
        <v>127880</v>
      </c>
      <c r="AD48">
        <v>137675</v>
      </c>
      <c r="AE48">
        <v>146379</v>
      </c>
      <c r="AF48">
        <v>154546</v>
      </c>
      <c r="AG48">
        <v>163498</v>
      </c>
      <c r="AH48">
        <v>172188</v>
      </c>
      <c r="AI48">
        <v>180527</v>
      </c>
      <c r="AJ48">
        <v>188790</v>
      </c>
      <c r="AK48">
        <v>199428</v>
      </c>
      <c r="AL48">
        <v>210010</v>
      </c>
      <c r="AM48">
        <v>219968</v>
      </c>
      <c r="AN48">
        <v>229363</v>
      </c>
      <c r="AO48">
        <v>237517</v>
      </c>
      <c r="AP48">
        <v>244753</v>
      </c>
      <c r="AQ48">
        <v>253475</v>
      </c>
      <c r="AR48">
        <v>262595</v>
      </c>
      <c r="AS48">
        <v>269771</v>
      </c>
      <c r="AT48">
        <v>280443</v>
      </c>
      <c r="AU48">
        <v>290429</v>
      </c>
      <c r="AV48">
        <v>301294</v>
      </c>
      <c r="AW48">
        <v>312914</v>
      </c>
      <c r="AX48">
        <v>323404</v>
      </c>
      <c r="AY48">
        <v>329892</v>
      </c>
      <c r="AZ48">
        <v>336566</v>
      </c>
      <c r="BA48" s="3">
        <v>337972</v>
      </c>
      <c r="BB48" s="3">
        <v>326070</v>
      </c>
      <c r="BC48">
        <v>319156</v>
      </c>
      <c r="BD48">
        <v>328734</v>
      </c>
      <c r="BE48">
        <v>353264</v>
      </c>
      <c r="BF48">
        <v>389384</v>
      </c>
      <c r="BG48">
        <v>439121</v>
      </c>
      <c r="BH48">
        <v>504568</v>
      </c>
      <c r="BI48">
        <v>552825</v>
      </c>
      <c r="BJ48">
        <v>593325</v>
      </c>
      <c r="BK48">
        <v>626599</v>
      </c>
      <c r="BL48">
        <v>659258</v>
      </c>
      <c r="BM48">
        <v>675905</v>
      </c>
      <c r="BN48">
        <v>689678</v>
      </c>
      <c r="BO48">
        <v>707671</v>
      </c>
      <c r="BP48">
        <v>725666</v>
      </c>
      <c r="BQ48">
        <v>737935</v>
      </c>
      <c r="BR48">
        <v>748294</v>
      </c>
      <c r="BS48">
        <v>765580</v>
      </c>
      <c r="BT48">
        <v>779341</v>
      </c>
      <c r="BU48">
        <v>785336</v>
      </c>
      <c r="BV48">
        <v>788207</v>
      </c>
      <c r="BW48">
        <v>791579</v>
      </c>
      <c r="BX48">
        <v>780920</v>
      </c>
      <c r="BY48">
        <v>776089</v>
      </c>
      <c r="BZ48">
        <v>775227</v>
      </c>
      <c r="CA48">
        <v>776399</v>
      </c>
      <c r="CB48">
        <v>772295</v>
      </c>
      <c r="CC48">
        <v>775328</v>
      </c>
      <c r="CD48">
        <v>770182</v>
      </c>
      <c r="CE48">
        <v>765469</v>
      </c>
      <c r="CF48">
        <v>764151</v>
      </c>
      <c r="CG48">
        <v>790066</v>
      </c>
      <c r="CH48">
        <v>805409</v>
      </c>
      <c r="CI48">
        <v>829077</v>
      </c>
      <c r="CJ48" s="5">
        <v>856432</v>
      </c>
      <c r="CK48">
        <v>877514</v>
      </c>
      <c r="CL48">
        <v>877712</v>
      </c>
      <c r="CM48">
        <v>886216</v>
      </c>
      <c r="CN48">
        <v>876539</v>
      </c>
      <c r="CO48">
        <v>855797</v>
      </c>
      <c r="CP48">
        <v>825996</v>
      </c>
      <c r="CQ48">
        <v>777573</v>
      </c>
      <c r="CR48">
        <v>734813</v>
      </c>
      <c r="CS48">
        <v>715254</v>
      </c>
      <c r="CT48">
        <v>688587</v>
      </c>
      <c r="CU48">
        <v>682792</v>
      </c>
      <c r="CV48">
        <v>686702</v>
      </c>
      <c r="CW48">
        <v>690396</v>
      </c>
      <c r="CX48">
        <v>686099</v>
      </c>
      <c r="CY48">
        <v>692221</v>
      </c>
      <c r="CZ48">
        <v>691254</v>
      </c>
    </row>
    <row r="49" spans="1:104" x14ac:dyDescent="0.3">
      <c r="A49" t="s">
        <v>12</v>
      </c>
      <c r="B49" t="s">
        <v>36</v>
      </c>
      <c r="C49" t="s">
        <v>30</v>
      </c>
      <c r="D49">
        <v>28921</v>
      </c>
      <c r="E49">
        <v>19763</v>
      </c>
      <c r="F49">
        <v>20960</v>
      </c>
      <c r="G49">
        <v>21613</v>
      </c>
      <c r="H49">
        <v>22271</v>
      </c>
      <c r="I49">
        <v>23538</v>
      </c>
      <c r="J49">
        <v>24674</v>
      </c>
      <c r="K49">
        <v>26058</v>
      </c>
      <c r="L49">
        <v>28577</v>
      </c>
      <c r="M49">
        <v>30463</v>
      </c>
      <c r="N49">
        <v>32559</v>
      </c>
      <c r="O49">
        <v>35108</v>
      </c>
      <c r="P49">
        <v>37348</v>
      </c>
      <c r="Q49">
        <v>37844</v>
      </c>
      <c r="R49">
        <v>40248</v>
      </c>
      <c r="S49">
        <v>43751</v>
      </c>
      <c r="T49">
        <v>45814</v>
      </c>
      <c r="U49">
        <v>48891</v>
      </c>
      <c r="V49">
        <v>51579</v>
      </c>
      <c r="W49">
        <v>55072</v>
      </c>
      <c r="X49">
        <v>57792</v>
      </c>
      <c r="Y49">
        <v>62052</v>
      </c>
      <c r="Z49">
        <v>66767</v>
      </c>
      <c r="AA49">
        <v>71098</v>
      </c>
      <c r="AB49">
        <v>75905</v>
      </c>
      <c r="AC49">
        <v>78211</v>
      </c>
      <c r="AD49">
        <v>79052</v>
      </c>
      <c r="AE49">
        <v>81484</v>
      </c>
      <c r="AF49">
        <v>84458</v>
      </c>
      <c r="AG49">
        <v>87909</v>
      </c>
      <c r="AH49">
        <v>93801</v>
      </c>
      <c r="AI49">
        <v>102837</v>
      </c>
      <c r="AJ49">
        <v>110217</v>
      </c>
      <c r="AK49">
        <v>116899</v>
      </c>
      <c r="AL49">
        <v>124294</v>
      </c>
      <c r="AM49">
        <v>132174</v>
      </c>
      <c r="AN49">
        <v>140448</v>
      </c>
      <c r="AO49">
        <v>147906</v>
      </c>
      <c r="AP49">
        <v>157217</v>
      </c>
      <c r="AQ49">
        <v>166676</v>
      </c>
      <c r="AR49">
        <v>175596</v>
      </c>
      <c r="AS49">
        <v>183798</v>
      </c>
      <c r="AT49">
        <v>191268</v>
      </c>
      <c r="AU49">
        <v>198069</v>
      </c>
      <c r="AV49">
        <v>205840</v>
      </c>
      <c r="AW49">
        <v>213993</v>
      </c>
      <c r="AX49">
        <v>220018</v>
      </c>
      <c r="AY49">
        <v>229610</v>
      </c>
      <c r="AZ49">
        <v>238433</v>
      </c>
      <c r="BA49" s="3">
        <v>248977</v>
      </c>
      <c r="BB49" s="3">
        <v>259923</v>
      </c>
      <c r="BC49">
        <v>268252</v>
      </c>
      <c r="BD49">
        <v>272997</v>
      </c>
      <c r="BE49">
        <v>279753</v>
      </c>
      <c r="BF49">
        <v>281753</v>
      </c>
      <c r="BG49">
        <v>272212</v>
      </c>
      <c r="BH49">
        <v>269748</v>
      </c>
      <c r="BI49">
        <v>280842</v>
      </c>
      <c r="BJ49">
        <v>300634</v>
      </c>
      <c r="BK49">
        <v>332090</v>
      </c>
      <c r="BL49">
        <v>376456</v>
      </c>
      <c r="BM49">
        <v>433376</v>
      </c>
      <c r="BN49">
        <v>475354</v>
      </c>
      <c r="BO49">
        <v>510653</v>
      </c>
      <c r="BP49">
        <v>540069</v>
      </c>
      <c r="BQ49">
        <v>569098</v>
      </c>
      <c r="BR49">
        <v>584989</v>
      </c>
      <c r="BS49">
        <v>597958</v>
      </c>
      <c r="BT49">
        <v>614733</v>
      </c>
      <c r="BU49">
        <v>631659</v>
      </c>
      <c r="BV49">
        <v>643731</v>
      </c>
      <c r="BW49">
        <v>654199</v>
      </c>
      <c r="BX49">
        <v>670477</v>
      </c>
      <c r="BY49">
        <v>683852</v>
      </c>
      <c r="BZ49">
        <v>690386</v>
      </c>
      <c r="CA49">
        <v>694073</v>
      </c>
      <c r="CB49">
        <v>698264</v>
      </c>
      <c r="CC49">
        <v>689847</v>
      </c>
      <c r="CD49">
        <v>687025</v>
      </c>
      <c r="CE49">
        <v>687683</v>
      </c>
      <c r="CF49">
        <v>690087</v>
      </c>
      <c r="CG49">
        <v>687780</v>
      </c>
      <c r="CH49">
        <v>691339</v>
      </c>
      <c r="CI49">
        <v>687862</v>
      </c>
      <c r="CJ49" s="5">
        <v>684894</v>
      </c>
      <c r="CK49">
        <v>685096</v>
      </c>
      <c r="CL49">
        <v>710185</v>
      </c>
      <c r="CM49">
        <v>725141</v>
      </c>
      <c r="CN49">
        <v>747611</v>
      </c>
      <c r="CO49">
        <v>773326</v>
      </c>
      <c r="CP49">
        <v>793164</v>
      </c>
      <c r="CQ49">
        <v>794808</v>
      </c>
      <c r="CR49">
        <v>803403</v>
      </c>
      <c r="CS49">
        <v>795468</v>
      </c>
      <c r="CT49">
        <v>777585</v>
      </c>
      <c r="CU49">
        <v>751263</v>
      </c>
      <c r="CV49">
        <v>707895</v>
      </c>
      <c r="CW49">
        <v>669984</v>
      </c>
      <c r="CX49">
        <v>653567</v>
      </c>
      <c r="CY49">
        <v>630385</v>
      </c>
      <c r="CZ49">
        <v>626368</v>
      </c>
    </row>
    <row r="50" spans="1:104" x14ac:dyDescent="0.3">
      <c r="A50" t="s">
        <v>12</v>
      </c>
      <c r="B50" t="s">
        <v>36</v>
      </c>
      <c r="C50" t="s">
        <v>31</v>
      </c>
      <c r="D50" t="s">
        <v>32</v>
      </c>
      <c r="E50">
        <v>10536</v>
      </c>
      <c r="F50">
        <v>11437</v>
      </c>
      <c r="G50">
        <v>11564</v>
      </c>
      <c r="H50">
        <v>12159</v>
      </c>
      <c r="I50">
        <v>9207</v>
      </c>
      <c r="J50">
        <v>9513</v>
      </c>
      <c r="K50">
        <v>9985</v>
      </c>
      <c r="L50">
        <v>10508</v>
      </c>
      <c r="M50">
        <v>11024</v>
      </c>
      <c r="N50">
        <v>11954</v>
      </c>
      <c r="O50">
        <v>12411</v>
      </c>
      <c r="P50">
        <v>13265</v>
      </c>
      <c r="Q50">
        <v>14568</v>
      </c>
      <c r="R50">
        <v>15621</v>
      </c>
      <c r="S50">
        <v>17238</v>
      </c>
      <c r="T50">
        <v>18020</v>
      </c>
      <c r="U50">
        <v>19468</v>
      </c>
      <c r="V50">
        <v>20068</v>
      </c>
      <c r="W50">
        <v>21371</v>
      </c>
      <c r="X50">
        <v>22810</v>
      </c>
      <c r="Y50">
        <v>24741</v>
      </c>
      <c r="Z50">
        <v>26180</v>
      </c>
      <c r="AA50">
        <v>27637</v>
      </c>
      <c r="AB50">
        <v>30381</v>
      </c>
      <c r="AC50">
        <v>32412</v>
      </c>
      <c r="AD50">
        <v>34942</v>
      </c>
      <c r="AE50">
        <v>38344</v>
      </c>
      <c r="AF50">
        <v>41241</v>
      </c>
      <c r="AG50">
        <v>43582</v>
      </c>
      <c r="AH50">
        <v>45555</v>
      </c>
      <c r="AI50">
        <v>47109</v>
      </c>
      <c r="AJ50">
        <v>49593</v>
      </c>
      <c r="AK50">
        <v>52017</v>
      </c>
      <c r="AL50">
        <v>54861</v>
      </c>
      <c r="AM50">
        <v>59170</v>
      </c>
      <c r="AN50">
        <v>66251</v>
      </c>
      <c r="AO50">
        <v>71494</v>
      </c>
      <c r="AP50">
        <v>76488</v>
      </c>
      <c r="AQ50">
        <v>82085</v>
      </c>
      <c r="AR50">
        <v>88264</v>
      </c>
      <c r="AS50">
        <v>94311</v>
      </c>
      <c r="AT50">
        <v>100306</v>
      </c>
      <c r="AU50">
        <v>107644</v>
      </c>
      <c r="AV50">
        <v>114632</v>
      </c>
      <c r="AW50">
        <v>121396</v>
      </c>
      <c r="AX50">
        <v>127228</v>
      </c>
      <c r="AY50">
        <v>132796</v>
      </c>
      <c r="AZ50">
        <v>137846</v>
      </c>
      <c r="BA50" s="3">
        <v>143763</v>
      </c>
      <c r="BB50" s="3">
        <v>150891</v>
      </c>
      <c r="BC50">
        <v>155913</v>
      </c>
      <c r="BD50">
        <v>161331</v>
      </c>
      <c r="BE50">
        <v>167655</v>
      </c>
      <c r="BF50">
        <v>176097</v>
      </c>
      <c r="BG50">
        <v>186889</v>
      </c>
      <c r="BH50">
        <v>194910</v>
      </c>
      <c r="BI50">
        <v>200794</v>
      </c>
      <c r="BJ50">
        <v>206212</v>
      </c>
      <c r="BK50">
        <v>208231</v>
      </c>
      <c r="BL50">
        <v>201912</v>
      </c>
      <c r="BM50">
        <v>200927</v>
      </c>
      <c r="BN50">
        <v>210838</v>
      </c>
      <c r="BO50">
        <v>227604</v>
      </c>
      <c r="BP50">
        <v>253264</v>
      </c>
      <c r="BQ50">
        <v>287799</v>
      </c>
      <c r="BR50">
        <v>332333</v>
      </c>
      <c r="BS50">
        <v>365189</v>
      </c>
      <c r="BT50">
        <v>392884</v>
      </c>
      <c r="BU50">
        <v>416375</v>
      </c>
      <c r="BV50">
        <v>439780</v>
      </c>
      <c r="BW50">
        <v>453929</v>
      </c>
      <c r="BX50">
        <v>465195</v>
      </c>
      <c r="BY50">
        <v>479663</v>
      </c>
      <c r="BZ50">
        <v>494471</v>
      </c>
      <c r="CA50">
        <v>505644</v>
      </c>
      <c r="CB50">
        <v>515668</v>
      </c>
      <c r="CC50">
        <v>529967</v>
      </c>
      <c r="CD50">
        <v>542246</v>
      </c>
      <c r="CE50">
        <v>549045</v>
      </c>
      <c r="CF50">
        <v>553442</v>
      </c>
      <c r="CG50">
        <v>558364</v>
      </c>
      <c r="CH50">
        <v>552859</v>
      </c>
      <c r="CI50">
        <v>552529</v>
      </c>
      <c r="CJ50" s="5">
        <v>554961</v>
      </c>
      <c r="CK50">
        <v>558697</v>
      </c>
      <c r="CL50">
        <v>558578</v>
      </c>
      <c r="CM50">
        <v>562533</v>
      </c>
      <c r="CN50">
        <v>561163</v>
      </c>
      <c r="CO50">
        <v>560398</v>
      </c>
      <c r="CP50">
        <v>562432</v>
      </c>
      <c r="CQ50">
        <v>585655</v>
      </c>
      <c r="CR50">
        <v>599492</v>
      </c>
      <c r="CS50">
        <v>619592</v>
      </c>
      <c r="CT50">
        <v>642298</v>
      </c>
      <c r="CU50">
        <v>659792</v>
      </c>
      <c r="CV50">
        <v>663147</v>
      </c>
      <c r="CW50">
        <v>671468</v>
      </c>
      <c r="CX50">
        <v>665888</v>
      </c>
      <c r="CY50">
        <v>652144</v>
      </c>
      <c r="CZ50">
        <v>631026</v>
      </c>
    </row>
    <row r="51" spans="1:104" x14ac:dyDescent="0.3">
      <c r="A51" t="s">
        <v>12</v>
      </c>
      <c r="B51" t="s">
        <v>36</v>
      </c>
      <c r="C51" t="s">
        <v>33</v>
      </c>
      <c r="D51" t="s">
        <v>32</v>
      </c>
      <c r="E51" t="s">
        <v>32</v>
      </c>
      <c r="F51" t="s">
        <v>32</v>
      </c>
      <c r="G51" t="s">
        <v>32</v>
      </c>
      <c r="H51" t="s">
        <v>32</v>
      </c>
      <c r="I51">
        <v>3137</v>
      </c>
      <c r="J51">
        <v>3266</v>
      </c>
      <c r="K51">
        <v>3521</v>
      </c>
      <c r="L51">
        <v>3631</v>
      </c>
      <c r="M51">
        <v>3891</v>
      </c>
      <c r="N51">
        <v>3978</v>
      </c>
      <c r="O51">
        <v>4211</v>
      </c>
      <c r="P51">
        <v>4404</v>
      </c>
      <c r="Q51">
        <v>4477</v>
      </c>
      <c r="R51">
        <v>4802</v>
      </c>
      <c r="S51">
        <v>5211</v>
      </c>
      <c r="T51">
        <v>5335</v>
      </c>
      <c r="U51">
        <v>5799</v>
      </c>
      <c r="V51">
        <v>6368</v>
      </c>
      <c r="W51">
        <v>6751</v>
      </c>
      <c r="X51">
        <v>7039</v>
      </c>
      <c r="Y51">
        <v>7761</v>
      </c>
      <c r="Z51">
        <v>7208</v>
      </c>
      <c r="AA51">
        <v>7618</v>
      </c>
      <c r="AB51">
        <v>8582</v>
      </c>
      <c r="AC51">
        <v>9186</v>
      </c>
      <c r="AD51">
        <v>10058</v>
      </c>
      <c r="AE51">
        <v>10907</v>
      </c>
      <c r="AF51">
        <v>11604</v>
      </c>
      <c r="AG51">
        <v>12735</v>
      </c>
      <c r="AH51">
        <v>13791</v>
      </c>
      <c r="AI51">
        <v>15177</v>
      </c>
      <c r="AJ51">
        <v>16972</v>
      </c>
      <c r="AK51">
        <v>18562</v>
      </c>
      <c r="AL51">
        <v>19792</v>
      </c>
      <c r="AM51">
        <v>20875</v>
      </c>
      <c r="AN51">
        <v>22270</v>
      </c>
      <c r="AO51">
        <v>23720</v>
      </c>
      <c r="AP51">
        <v>25176</v>
      </c>
      <c r="AQ51">
        <v>27016</v>
      </c>
      <c r="AR51">
        <v>29574</v>
      </c>
      <c r="AS51">
        <v>33242</v>
      </c>
      <c r="AT51">
        <v>36268</v>
      </c>
      <c r="AU51">
        <v>39326</v>
      </c>
      <c r="AV51">
        <v>42303</v>
      </c>
      <c r="AW51">
        <v>45853</v>
      </c>
      <c r="AX51">
        <v>49388</v>
      </c>
      <c r="AY51">
        <v>52465</v>
      </c>
      <c r="AZ51">
        <v>56689</v>
      </c>
      <c r="BA51" s="3">
        <v>60746</v>
      </c>
      <c r="BB51" s="3">
        <v>65011</v>
      </c>
      <c r="BC51">
        <v>68318</v>
      </c>
      <c r="BD51">
        <v>69556</v>
      </c>
      <c r="BE51">
        <v>71816</v>
      </c>
      <c r="BF51">
        <v>75049</v>
      </c>
      <c r="BG51">
        <v>82860</v>
      </c>
      <c r="BH51">
        <v>87707</v>
      </c>
      <c r="BI51">
        <v>93493</v>
      </c>
      <c r="BJ51">
        <v>98873</v>
      </c>
      <c r="BK51">
        <v>104932</v>
      </c>
      <c r="BL51">
        <v>111162</v>
      </c>
      <c r="BM51">
        <v>116424</v>
      </c>
      <c r="BN51">
        <v>120446</v>
      </c>
      <c r="BO51">
        <v>124175</v>
      </c>
      <c r="BP51">
        <v>125959</v>
      </c>
      <c r="BQ51">
        <v>122373</v>
      </c>
      <c r="BR51">
        <v>122524</v>
      </c>
      <c r="BS51">
        <v>130118</v>
      </c>
      <c r="BT51">
        <v>142239</v>
      </c>
      <c r="BU51">
        <v>159984</v>
      </c>
      <c r="BV51">
        <v>182403</v>
      </c>
      <c r="BW51">
        <v>211564</v>
      </c>
      <c r="BX51">
        <v>233012</v>
      </c>
      <c r="BY51">
        <v>251129</v>
      </c>
      <c r="BZ51">
        <v>266895</v>
      </c>
      <c r="CA51">
        <v>282845</v>
      </c>
      <c r="CB51">
        <v>293809</v>
      </c>
      <c r="CC51">
        <v>302369</v>
      </c>
      <c r="CD51">
        <v>313366</v>
      </c>
      <c r="CE51">
        <v>324895</v>
      </c>
      <c r="CF51">
        <v>334231</v>
      </c>
      <c r="CG51">
        <v>342897</v>
      </c>
      <c r="CH51">
        <v>354108</v>
      </c>
      <c r="CI51">
        <v>364256</v>
      </c>
      <c r="CJ51" s="5">
        <v>370655</v>
      </c>
      <c r="CK51">
        <v>375300</v>
      </c>
      <c r="CL51">
        <v>380454</v>
      </c>
      <c r="CM51">
        <v>378108</v>
      </c>
      <c r="CN51">
        <v>380071</v>
      </c>
      <c r="CO51">
        <v>383895</v>
      </c>
      <c r="CP51">
        <v>388509</v>
      </c>
      <c r="CQ51">
        <v>390378</v>
      </c>
      <c r="CR51">
        <v>394362</v>
      </c>
      <c r="CS51">
        <v>395049</v>
      </c>
      <c r="CT51">
        <v>396376</v>
      </c>
      <c r="CU51">
        <v>399912</v>
      </c>
      <c r="CV51">
        <v>419392</v>
      </c>
      <c r="CW51">
        <v>430953</v>
      </c>
      <c r="CX51">
        <v>447083</v>
      </c>
      <c r="CY51">
        <v>464997</v>
      </c>
      <c r="CZ51">
        <v>478757</v>
      </c>
    </row>
    <row r="52" spans="1:104" x14ac:dyDescent="0.3">
      <c r="A52" t="s">
        <v>12</v>
      </c>
      <c r="B52" t="s">
        <v>36</v>
      </c>
      <c r="C52" t="s">
        <v>34</v>
      </c>
      <c r="D52" t="s">
        <v>32</v>
      </c>
      <c r="E52" t="s">
        <v>32</v>
      </c>
      <c r="F52" t="s">
        <v>32</v>
      </c>
      <c r="G52" t="s">
        <v>32</v>
      </c>
      <c r="H52" t="s">
        <v>32</v>
      </c>
      <c r="I52" t="s">
        <v>32</v>
      </c>
      <c r="J52" t="s">
        <v>32</v>
      </c>
      <c r="K52" t="s">
        <v>32</v>
      </c>
      <c r="L52" t="s">
        <v>32</v>
      </c>
      <c r="M52" t="s">
        <v>32</v>
      </c>
      <c r="N52" t="s">
        <v>32</v>
      </c>
      <c r="O52" t="s">
        <v>32</v>
      </c>
      <c r="P52" t="s">
        <v>32</v>
      </c>
      <c r="Q52" t="s">
        <v>32</v>
      </c>
      <c r="R52" t="s">
        <v>32</v>
      </c>
      <c r="S52" t="s">
        <v>32</v>
      </c>
      <c r="T52" t="s">
        <v>32</v>
      </c>
      <c r="U52" t="s">
        <v>32</v>
      </c>
      <c r="V52" t="s">
        <v>32</v>
      </c>
      <c r="W52" t="s">
        <v>32</v>
      </c>
      <c r="X52" t="s">
        <v>32</v>
      </c>
      <c r="Y52" t="s">
        <v>32</v>
      </c>
      <c r="Z52">
        <v>1195</v>
      </c>
      <c r="AA52">
        <v>1389</v>
      </c>
      <c r="AB52">
        <v>1556</v>
      </c>
      <c r="AC52">
        <v>1709</v>
      </c>
      <c r="AD52">
        <v>1949</v>
      </c>
      <c r="AE52">
        <v>2131</v>
      </c>
      <c r="AF52">
        <v>2327</v>
      </c>
      <c r="AG52">
        <v>2527</v>
      </c>
      <c r="AH52">
        <v>2757</v>
      </c>
      <c r="AI52">
        <v>2954</v>
      </c>
      <c r="AJ52">
        <v>3293</v>
      </c>
      <c r="AK52">
        <v>3533</v>
      </c>
      <c r="AL52">
        <v>3930</v>
      </c>
      <c r="AM52">
        <v>4292</v>
      </c>
      <c r="AN52">
        <v>4844</v>
      </c>
      <c r="AO52">
        <v>5456</v>
      </c>
      <c r="AP52">
        <v>5846</v>
      </c>
      <c r="AQ52">
        <v>6396</v>
      </c>
      <c r="AR52">
        <v>6865</v>
      </c>
      <c r="AS52">
        <v>7138</v>
      </c>
      <c r="AT52">
        <v>7833</v>
      </c>
      <c r="AU52">
        <v>8393</v>
      </c>
      <c r="AV52">
        <v>8992</v>
      </c>
      <c r="AW52">
        <v>10061</v>
      </c>
      <c r="AX52">
        <v>11408</v>
      </c>
      <c r="AY52">
        <v>12586</v>
      </c>
      <c r="AZ52">
        <v>13583</v>
      </c>
      <c r="BA52" s="3">
        <v>14641</v>
      </c>
      <c r="BB52" s="3">
        <v>16092</v>
      </c>
      <c r="BC52">
        <v>17573</v>
      </c>
      <c r="BD52">
        <v>18067</v>
      </c>
      <c r="BE52">
        <v>18821</v>
      </c>
      <c r="BF52">
        <v>19902</v>
      </c>
      <c r="BG52">
        <v>22874</v>
      </c>
      <c r="BH52">
        <v>25097</v>
      </c>
      <c r="BI52">
        <v>27169</v>
      </c>
      <c r="BJ52">
        <v>29232</v>
      </c>
      <c r="BK52">
        <v>31492</v>
      </c>
      <c r="BL52">
        <v>33839</v>
      </c>
      <c r="BM52">
        <v>35906</v>
      </c>
      <c r="BN52">
        <v>38451</v>
      </c>
      <c r="BO52">
        <v>40848</v>
      </c>
      <c r="BP52">
        <v>43785</v>
      </c>
      <c r="BQ52">
        <v>46815</v>
      </c>
      <c r="BR52">
        <v>49312</v>
      </c>
      <c r="BS52">
        <v>51302</v>
      </c>
      <c r="BT52">
        <v>53187</v>
      </c>
      <c r="BU52">
        <v>54302</v>
      </c>
      <c r="BV52">
        <v>52840</v>
      </c>
      <c r="BW52">
        <v>53420</v>
      </c>
      <c r="BX52">
        <v>57860</v>
      </c>
      <c r="BY52">
        <v>64477</v>
      </c>
      <c r="BZ52">
        <v>73639</v>
      </c>
      <c r="CA52">
        <v>84323</v>
      </c>
      <c r="CB52">
        <v>98598</v>
      </c>
      <c r="CC52">
        <v>109067</v>
      </c>
      <c r="CD52">
        <v>118057</v>
      </c>
      <c r="CE52">
        <v>126298</v>
      </c>
      <c r="CF52">
        <v>134939</v>
      </c>
      <c r="CG52">
        <v>141805</v>
      </c>
      <c r="CH52">
        <v>147028</v>
      </c>
      <c r="CI52">
        <v>153725</v>
      </c>
      <c r="CJ52" s="5">
        <v>160897</v>
      </c>
      <c r="CK52">
        <v>167088</v>
      </c>
      <c r="CL52">
        <v>172997</v>
      </c>
      <c r="CM52">
        <v>180002</v>
      </c>
      <c r="CN52">
        <v>186698</v>
      </c>
      <c r="CO52">
        <v>191390</v>
      </c>
      <c r="CP52">
        <v>195071</v>
      </c>
      <c r="CQ52">
        <v>199171</v>
      </c>
      <c r="CR52">
        <v>198968</v>
      </c>
      <c r="CS52">
        <v>201747</v>
      </c>
      <c r="CT52">
        <v>205477</v>
      </c>
      <c r="CU52">
        <v>209521</v>
      </c>
      <c r="CV52">
        <v>211981</v>
      </c>
      <c r="CW52">
        <v>214980</v>
      </c>
      <c r="CX52">
        <v>216569</v>
      </c>
      <c r="CY52">
        <v>218712</v>
      </c>
      <c r="CZ52">
        <v>222280</v>
      </c>
    </row>
    <row r="53" spans="1:104" x14ac:dyDescent="0.3">
      <c r="A53" t="s">
        <v>12</v>
      </c>
      <c r="B53" t="s">
        <v>36</v>
      </c>
      <c r="C53" t="s">
        <v>35</v>
      </c>
      <c r="D53" t="s">
        <v>32</v>
      </c>
      <c r="E53" t="s">
        <v>32</v>
      </c>
      <c r="F53" t="s">
        <v>32</v>
      </c>
      <c r="G53" t="s">
        <v>32</v>
      </c>
      <c r="H53" t="s">
        <v>32</v>
      </c>
      <c r="I53" t="s">
        <v>32</v>
      </c>
      <c r="J53" t="s">
        <v>32</v>
      </c>
      <c r="K53" t="s">
        <v>32</v>
      </c>
      <c r="L53" t="s">
        <v>32</v>
      </c>
      <c r="M53" t="s">
        <v>32</v>
      </c>
      <c r="N53" t="s">
        <v>32</v>
      </c>
      <c r="O53" t="s">
        <v>32</v>
      </c>
      <c r="P53" t="s">
        <v>32</v>
      </c>
      <c r="Q53" t="s">
        <v>32</v>
      </c>
      <c r="R53" t="s">
        <v>32</v>
      </c>
      <c r="S53" t="s">
        <v>32</v>
      </c>
      <c r="T53" t="s">
        <v>32</v>
      </c>
      <c r="U53" t="s">
        <v>32</v>
      </c>
      <c r="V53" t="s">
        <v>32</v>
      </c>
      <c r="W53" t="s">
        <v>32</v>
      </c>
      <c r="X53" t="s">
        <v>32</v>
      </c>
      <c r="Y53" t="s">
        <v>32</v>
      </c>
      <c r="Z53">
        <v>212</v>
      </c>
      <c r="AA53">
        <v>258</v>
      </c>
      <c r="AB53">
        <v>333</v>
      </c>
      <c r="AC53">
        <v>330</v>
      </c>
      <c r="AD53">
        <v>380</v>
      </c>
      <c r="AE53">
        <v>442</v>
      </c>
      <c r="AF53">
        <v>484</v>
      </c>
      <c r="AG53">
        <v>518</v>
      </c>
      <c r="AH53">
        <v>578</v>
      </c>
      <c r="AI53">
        <v>646</v>
      </c>
      <c r="AJ53">
        <v>692</v>
      </c>
      <c r="AK53">
        <v>739</v>
      </c>
      <c r="AL53">
        <v>787</v>
      </c>
      <c r="AM53">
        <v>859</v>
      </c>
      <c r="AN53">
        <v>939</v>
      </c>
      <c r="AO53">
        <v>957</v>
      </c>
      <c r="AP53">
        <v>942</v>
      </c>
      <c r="AQ53">
        <v>1024</v>
      </c>
      <c r="AR53">
        <v>1075</v>
      </c>
      <c r="AS53">
        <v>1114</v>
      </c>
      <c r="AT53">
        <v>1284</v>
      </c>
      <c r="AU53">
        <v>1420</v>
      </c>
      <c r="AV53">
        <v>1543</v>
      </c>
      <c r="AW53">
        <v>1625</v>
      </c>
      <c r="AX53">
        <v>1664</v>
      </c>
      <c r="AY53">
        <v>1805</v>
      </c>
      <c r="AZ53">
        <v>1932</v>
      </c>
      <c r="BA53" s="3">
        <v>2119</v>
      </c>
      <c r="BB53" s="3">
        <v>2365</v>
      </c>
      <c r="BC53">
        <v>2639</v>
      </c>
      <c r="BD53">
        <v>2704</v>
      </c>
      <c r="BE53">
        <v>2836</v>
      </c>
      <c r="BF53">
        <v>2958</v>
      </c>
      <c r="BG53">
        <v>3084</v>
      </c>
      <c r="BH53">
        <v>3486</v>
      </c>
      <c r="BI53">
        <v>3846</v>
      </c>
      <c r="BJ53">
        <v>4268</v>
      </c>
      <c r="BK53">
        <v>4671</v>
      </c>
      <c r="BL53">
        <v>5115</v>
      </c>
      <c r="BM53">
        <v>5619</v>
      </c>
      <c r="BN53">
        <v>6070</v>
      </c>
      <c r="BO53">
        <v>6551</v>
      </c>
      <c r="BP53">
        <v>7163</v>
      </c>
      <c r="BQ53">
        <v>7799</v>
      </c>
      <c r="BR53">
        <v>8366</v>
      </c>
      <c r="BS53">
        <v>9068</v>
      </c>
      <c r="BT53">
        <v>9728</v>
      </c>
      <c r="BU53">
        <v>10594</v>
      </c>
      <c r="BV53">
        <v>11476</v>
      </c>
      <c r="BW53">
        <v>12168</v>
      </c>
      <c r="BX53">
        <v>12775</v>
      </c>
      <c r="BY53">
        <v>13382</v>
      </c>
      <c r="BZ53">
        <v>13849</v>
      </c>
      <c r="CA53">
        <v>13567</v>
      </c>
      <c r="CB53">
        <v>14059</v>
      </c>
      <c r="CC53">
        <v>15788</v>
      </c>
      <c r="CD53">
        <v>18066</v>
      </c>
      <c r="CE53">
        <v>20967</v>
      </c>
      <c r="CF53">
        <v>23937</v>
      </c>
      <c r="CG53">
        <v>28245</v>
      </c>
      <c r="CH53">
        <v>31413</v>
      </c>
      <c r="CI53">
        <v>34313</v>
      </c>
      <c r="CJ53" s="5">
        <v>37300</v>
      </c>
      <c r="CK53">
        <v>40587</v>
      </c>
      <c r="CL53">
        <v>43788</v>
      </c>
      <c r="CM53">
        <v>46071</v>
      </c>
      <c r="CN53">
        <v>49005</v>
      </c>
      <c r="CO53">
        <v>52210</v>
      </c>
      <c r="CP53">
        <v>55162</v>
      </c>
      <c r="CQ53">
        <v>58032</v>
      </c>
      <c r="CR53">
        <v>61031</v>
      </c>
      <c r="CS53">
        <v>64172</v>
      </c>
      <c r="CT53">
        <v>66627</v>
      </c>
      <c r="CU53">
        <v>68691</v>
      </c>
      <c r="CV53">
        <v>71036</v>
      </c>
      <c r="CW53">
        <v>71726</v>
      </c>
      <c r="CX53">
        <v>74007</v>
      </c>
      <c r="CY53">
        <v>76378</v>
      </c>
      <c r="CZ53">
        <v>78648</v>
      </c>
    </row>
    <row r="55" spans="1:104" x14ac:dyDescent="0.3">
      <c r="A55" t="s">
        <v>69</v>
      </c>
      <c r="D55">
        <f>SUM(D12:D53)</f>
        <v>14675964</v>
      </c>
      <c r="E55">
        <f t="shared" ref="E55:BP55" si="0">SUM(E12:E53)</f>
        <v>14994823</v>
      </c>
      <c r="F55">
        <f t="shared" si="0"/>
        <v>15367774</v>
      </c>
      <c r="G55">
        <f t="shared" si="0"/>
        <v>15642467</v>
      </c>
      <c r="H55">
        <f t="shared" si="0"/>
        <v>15927167</v>
      </c>
      <c r="I55">
        <f t="shared" si="0"/>
        <v>16223089</v>
      </c>
      <c r="J55">
        <f t="shared" si="0"/>
        <v>16579737</v>
      </c>
      <c r="K55">
        <f t="shared" si="0"/>
        <v>16882053</v>
      </c>
      <c r="L55">
        <f t="shared" si="0"/>
        <v>17202491</v>
      </c>
      <c r="M55">
        <f t="shared" si="0"/>
        <v>17543067</v>
      </c>
      <c r="N55">
        <f t="shared" si="0"/>
        <v>17866008</v>
      </c>
      <c r="O55">
        <f t="shared" si="0"/>
        <v>18193955</v>
      </c>
      <c r="P55">
        <f t="shared" si="0"/>
        <v>18515754</v>
      </c>
      <c r="Q55">
        <f t="shared" si="0"/>
        <v>18790538</v>
      </c>
      <c r="R55">
        <f t="shared" si="0"/>
        <v>19069194</v>
      </c>
      <c r="S55">
        <f t="shared" si="0"/>
        <v>19313825</v>
      </c>
      <c r="T55">
        <f t="shared" si="0"/>
        <v>19509082</v>
      </c>
      <c r="U55">
        <f t="shared" si="0"/>
        <v>19725010</v>
      </c>
      <c r="V55">
        <f t="shared" si="0"/>
        <v>19954397</v>
      </c>
      <c r="W55">
        <f t="shared" si="0"/>
        <v>20156587</v>
      </c>
      <c r="X55">
        <f t="shared" si="0"/>
        <v>20401305</v>
      </c>
      <c r="Y55">
        <f t="shared" si="0"/>
        <v>20605831</v>
      </c>
      <c r="Z55">
        <f t="shared" si="0"/>
        <v>20802622</v>
      </c>
      <c r="AA55">
        <f t="shared" si="0"/>
        <v>20995416</v>
      </c>
      <c r="AB55">
        <f t="shared" si="0"/>
        <v>21177874</v>
      </c>
      <c r="AC55">
        <f t="shared" si="0"/>
        <v>21357431</v>
      </c>
      <c r="AD55">
        <f t="shared" si="0"/>
        <v>21525433</v>
      </c>
      <c r="AE55">
        <f t="shared" si="0"/>
        <v>21742815</v>
      </c>
      <c r="AF55">
        <f t="shared" si="0"/>
        <v>21928591</v>
      </c>
      <c r="AG55">
        <f t="shared" si="0"/>
        <v>22092387</v>
      </c>
      <c r="AH55">
        <f t="shared" si="0"/>
        <v>22276672</v>
      </c>
      <c r="AI55">
        <f t="shared" si="0"/>
        <v>22405568</v>
      </c>
      <c r="AJ55">
        <f t="shared" si="0"/>
        <v>22520776</v>
      </c>
      <c r="AK55">
        <f t="shared" si="0"/>
        <v>22604550</v>
      </c>
      <c r="AL55">
        <f t="shared" si="0"/>
        <v>22689122</v>
      </c>
      <c r="AM55">
        <f t="shared" si="0"/>
        <v>22770383</v>
      </c>
      <c r="AN55">
        <f t="shared" si="0"/>
        <v>22876527</v>
      </c>
      <c r="AO55">
        <f t="shared" si="0"/>
        <v>22958360</v>
      </c>
      <c r="AP55">
        <f t="shared" si="0"/>
        <v>23037031</v>
      </c>
      <c r="AQ55">
        <f t="shared" si="0"/>
        <v>23119772</v>
      </c>
      <c r="AR55">
        <f t="shared" si="0"/>
        <v>23162123</v>
      </c>
      <c r="AS55">
        <f t="shared" si="0"/>
        <v>23224912</v>
      </c>
      <c r="AT55">
        <f t="shared" si="0"/>
        <v>23315822</v>
      </c>
      <c r="AU55">
        <f t="shared" si="0"/>
        <v>23373517</v>
      </c>
      <c r="AV55">
        <f t="shared" si="0"/>
        <v>23433753</v>
      </c>
      <c r="AW55">
        <f t="shared" si="0"/>
        <v>23492074</v>
      </c>
      <c r="AX55">
        <f t="shared" si="0"/>
        <v>23539816</v>
      </c>
      <c r="AY55">
        <f t="shared" si="0"/>
        <v>23571227</v>
      </c>
      <c r="AZ55">
        <f t="shared" si="0"/>
        <v>23588932</v>
      </c>
      <c r="BA55" s="4">
        <f t="shared" si="0"/>
        <v>23603121</v>
      </c>
      <c r="BB55" s="4">
        <f t="shared" si="0"/>
        <v>23561236</v>
      </c>
      <c r="BC55">
        <f t="shared" si="0"/>
        <v>23375314</v>
      </c>
      <c r="BD55">
        <f t="shared" si="0"/>
        <v>23264640</v>
      </c>
      <c r="BE55">
        <f t="shared" si="0"/>
        <v>23420442</v>
      </c>
      <c r="BF55">
        <f t="shared" si="0"/>
        <v>23400220</v>
      </c>
      <c r="BG55">
        <f t="shared" si="0"/>
        <v>23342839</v>
      </c>
      <c r="BH55">
        <f t="shared" si="0"/>
        <v>23273147</v>
      </c>
      <c r="BI55">
        <f t="shared" si="0"/>
        <v>23195160</v>
      </c>
      <c r="BJ55">
        <f t="shared" si="0"/>
        <v>23111886</v>
      </c>
      <c r="BK55">
        <f t="shared" si="0"/>
        <v>23026002</v>
      </c>
      <c r="BL55">
        <f t="shared" si="0"/>
        <v>22933157</v>
      </c>
      <c r="BM55">
        <f t="shared" si="0"/>
        <v>22833312</v>
      </c>
      <c r="BN55">
        <f t="shared" si="0"/>
        <v>22726577</v>
      </c>
      <c r="BO55">
        <f t="shared" si="0"/>
        <v>22612894</v>
      </c>
      <c r="BP55">
        <f t="shared" si="0"/>
        <v>22492493</v>
      </c>
      <c r="BQ55">
        <f t="shared" ref="BQ55:CZ55" si="1">SUM(BQ12:BQ53)</f>
        <v>22365303</v>
      </c>
      <c r="BR55">
        <f t="shared" si="1"/>
        <v>22231082</v>
      </c>
      <c r="BS55">
        <f t="shared" si="1"/>
        <v>22090240</v>
      </c>
      <c r="BT55">
        <f t="shared" si="1"/>
        <v>21943123</v>
      </c>
      <c r="BU55">
        <f t="shared" si="1"/>
        <v>21789273</v>
      </c>
      <c r="BV55">
        <f t="shared" si="1"/>
        <v>21628119</v>
      </c>
      <c r="BW55">
        <f t="shared" si="1"/>
        <v>21459743</v>
      </c>
      <c r="BX55">
        <f t="shared" si="1"/>
        <v>21285123</v>
      </c>
      <c r="BY55">
        <f t="shared" si="1"/>
        <v>21104490</v>
      </c>
      <c r="BZ55">
        <f t="shared" si="1"/>
        <v>20918211</v>
      </c>
      <c r="CA55">
        <f t="shared" si="1"/>
        <v>20726501</v>
      </c>
      <c r="CB55">
        <f t="shared" si="1"/>
        <v>20530005</v>
      </c>
      <c r="CC55">
        <f t="shared" si="1"/>
        <v>20328324</v>
      </c>
      <c r="CD55">
        <f t="shared" si="1"/>
        <v>20121945</v>
      </c>
      <c r="CE55">
        <f t="shared" si="1"/>
        <v>19911391</v>
      </c>
      <c r="CF55">
        <f t="shared" si="1"/>
        <v>19696831</v>
      </c>
      <c r="CG55">
        <f t="shared" si="1"/>
        <v>19478614</v>
      </c>
      <c r="CH55">
        <f t="shared" si="1"/>
        <v>19256432</v>
      </c>
      <c r="CI55">
        <f t="shared" si="1"/>
        <v>19030737</v>
      </c>
      <c r="CJ55" s="5">
        <f t="shared" si="1"/>
        <v>18802339</v>
      </c>
      <c r="CK55">
        <f t="shared" si="1"/>
        <v>18571169</v>
      </c>
      <c r="CL55">
        <f t="shared" si="1"/>
        <v>18337455</v>
      </c>
      <c r="CM55">
        <f t="shared" si="1"/>
        <v>18101516</v>
      </c>
      <c r="CN55">
        <f t="shared" si="1"/>
        <v>17863917</v>
      </c>
      <c r="CO55">
        <f t="shared" si="1"/>
        <v>17624793</v>
      </c>
      <c r="CP55">
        <f t="shared" si="1"/>
        <v>17384405</v>
      </c>
      <c r="CQ55">
        <f t="shared" si="1"/>
        <v>17142955</v>
      </c>
      <c r="CR55">
        <f t="shared" si="1"/>
        <v>16900823</v>
      </c>
      <c r="CS55">
        <f t="shared" si="1"/>
        <v>16658337</v>
      </c>
      <c r="CT55">
        <f t="shared" si="1"/>
        <v>16415636</v>
      </c>
      <c r="CU55">
        <f t="shared" si="1"/>
        <v>16172964</v>
      </c>
      <c r="CV55">
        <f t="shared" si="1"/>
        <v>15930422</v>
      </c>
      <c r="CW55">
        <f t="shared" si="1"/>
        <v>15688258</v>
      </c>
      <c r="CX55">
        <f t="shared" si="1"/>
        <v>15447091</v>
      </c>
      <c r="CY55">
        <f t="shared" si="1"/>
        <v>15206822</v>
      </c>
      <c r="CZ55">
        <f t="shared" si="1"/>
        <v>14967238</v>
      </c>
    </row>
    <row r="56" spans="1:104" x14ac:dyDescent="0.3">
      <c r="A56" t="s">
        <v>70</v>
      </c>
      <c r="E56">
        <f>E55-D55</f>
        <v>318859</v>
      </c>
      <c r="F56">
        <f t="shared" ref="F56:BQ56" si="2">F55-E55</f>
        <v>372951</v>
      </c>
      <c r="G56">
        <f t="shared" si="2"/>
        <v>274693</v>
      </c>
      <c r="H56">
        <f t="shared" si="2"/>
        <v>284700</v>
      </c>
      <c r="I56">
        <f t="shared" si="2"/>
        <v>295922</v>
      </c>
      <c r="J56">
        <f t="shared" si="2"/>
        <v>356648</v>
      </c>
      <c r="K56">
        <f t="shared" si="2"/>
        <v>302316</v>
      </c>
      <c r="L56">
        <f t="shared" si="2"/>
        <v>320438</v>
      </c>
      <c r="M56">
        <f t="shared" si="2"/>
        <v>340576</v>
      </c>
      <c r="N56">
        <f t="shared" si="2"/>
        <v>322941</v>
      </c>
      <c r="O56">
        <f t="shared" si="2"/>
        <v>327947</v>
      </c>
      <c r="P56">
        <f t="shared" si="2"/>
        <v>321799</v>
      </c>
      <c r="Q56">
        <f t="shared" si="2"/>
        <v>274784</v>
      </c>
      <c r="R56">
        <f t="shared" si="2"/>
        <v>278656</v>
      </c>
      <c r="S56">
        <f t="shared" si="2"/>
        <v>244631</v>
      </c>
      <c r="T56">
        <f t="shared" si="2"/>
        <v>195257</v>
      </c>
      <c r="U56">
        <f t="shared" si="2"/>
        <v>215928</v>
      </c>
      <c r="V56">
        <f t="shared" si="2"/>
        <v>229387</v>
      </c>
      <c r="W56">
        <f t="shared" si="2"/>
        <v>202190</v>
      </c>
      <c r="X56">
        <f t="shared" si="2"/>
        <v>244718</v>
      </c>
      <c r="Y56">
        <f t="shared" si="2"/>
        <v>204526</v>
      </c>
      <c r="Z56">
        <f t="shared" si="2"/>
        <v>196791</v>
      </c>
      <c r="AA56">
        <f t="shared" si="2"/>
        <v>192794</v>
      </c>
      <c r="AB56">
        <f t="shared" si="2"/>
        <v>182458</v>
      </c>
      <c r="AC56">
        <f t="shared" si="2"/>
        <v>179557</v>
      </c>
      <c r="AD56">
        <f t="shared" si="2"/>
        <v>168002</v>
      </c>
      <c r="AE56">
        <f t="shared" si="2"/>
        <v>217382</v>
      </c>
      <c r="AF56">
        <f t="shared" si="2"/>
        <v>185776</v>
      </c>
      <c r="AG56">
        <f t="shared" si="2"/>
        <v>163796</v>
      </c>
      <c r="AH56">
        <f t="shared" si="2"/>
        <v>184285</v>
      </c>
      <c r="AI56">
        <f t="shared" si="2"/>
        <v>128896</v>
      </c>
      <c r="AJ56">
        <f t="shared" si="2"/>
        <v>115208</v>
      </c>
      <c r="AK56">
        <f t="shared" si="2"/>
        <v>83774</v>
      </c>
      <c r="AL56">
        <f t="shared" si="2"/>
        <v>84572</v>
      </c>
      <c r="AM56">
        <f t="shared" si="2"/>
        <v>81261</v>
      </c>
      <c r="AN56">
        <f t="shared" si="2"/>
        <v>106144</v>
      </c>
      <c r="AO56">
        <f t="shared" si="2"/>
        <v>81833</v>
      </c>
      <c r="AP56">
        <f t="shared" si="2"/>
        <v>78671</v>
      </c>
      <c r="AQ56">
        <f t="shared" si="2"/>
        <v>82741</v>
      </c>
      <c r="AR56">
        <f t="shared" si="2"/>
        <v>42351</v>
      </c>
      <c r="AS56">
        <f t="shared" si="2"/>
        <v>62789</v>
      </c>
      <c r="AT56">
        <f t="shared" si="2"/>
        <v>90910</v>
      </c>
      <c r="AU56">
        <f t="shared" si="2"/>
        <v>57695</v>
      </c>
      <c r="AV56">
        <f t="shared" si="2"/>
        <v>60236</v>
      </c>
      <c r="AW56">
        <f t="shared" si="2"/>
        <v>58321</v>
      </c>
      <c r="AX56">
        <f t="shared" si="2"/>
        <v>47742</v>
      </c>
      <c r="AY56">
        <f t="shared" si="2"/>
        <v>31411</v>
      </c>
      <c r="AZ56">
        <f t="shared" si="2"/>
        <v>17705</v>
      </c>
      <c r="BA56" s="3">
        <f t="shared" si="2"/>
        <v>14189</v>
      </c>
      <c r="BB56" s="3">
        <f t="shared" si="2"/>
        <v>-41885</v>
      </c>
      <c r="BC56">
        <f t="shared" si="2"/>
        <v>-185922</v>
      </c>
      <c r="BD56">
        <f t="shared" si="2"/>
        <v>-110674</v>
      </c>
      <c r="BE56">
        <f t="shared" si="2"/>
        <v>155802</v>
      </c>
      <c r="BF56">
        <f t="shared" si="2"/>
        <v>-20222</v>
      </c>
      <c r="BG56">
        <f t="shared" si="2"/>
        <v>-57381</v>
      </c>
      <c r="BH56">
        <f t="shared" si="2"/>
        <v>-69692</v>
      </c>
      <c r="BI56">
        <f t="shared" si="2"/>
        <v>-77987</v>
      </c>
      <c r="BJ56">
        <f t="shared" si="2"/>
        <v>-83274</v>
      </c>
      <c r="BK56">
        <f t="shared" si="2"/>
        <v>-85884</v>
      </c>
      <c r="BL56">
        <f t="shared" si="2"/>
        <v>-92845</v>
      </c>
      <c r="BM56">
        <f t="shared" si="2"/>
        <v>-99845</v>
      </c>
      <c r="BN56">
        <f t="shared" si="2"/>
        <v>-106735</v>
      </c>
      <c r="BO56">
        <f t="shared" si="2"/>
        <v>-113683</v>
      </c>
      <c r="BP56">
        <f t="shared" si="2"/>
        <v>-120401</v>
      </c>
      <c r="BQ56">
        <f t="shared" si="2"/>
        <v>-127190</v>
      </c>
      <c r="BR56">
        <f t="shared" ref="BR56:CZ56" si="3">BR55-BQ55</f>
        <v>-134221</v>
      </c>
      <c r="BS56">
        <f t="shared" si="3"/>
        <v>-140842</v>
      </c>
      <c r="BT56">
        <f t="shared" si="3"/>
        <v>-147117</v>
      </c>
      <c r="BU56">
        <f t="shared" si="3"/>
        <v>-153850</v>
      </c>
      <c r="BV56">
        <f t="shared" si="3"/>
        <v>-161154</v>
      </c>
      <c r="BW56">
        <f t="shared" si="3"/>
        <v>-168376</v>
      </c>
      <c r="BX56">
        <f t="shared" si="3"/>
        <v>-174620</v>
      </c>
      <c r="BY56">
        <f t="shared" si="3"/>
        <v>-180633</v>
      </c>
      <c r="BZ56">
        <f t="shared" si="3"/>
        <v>-186279</v>
      </c>
      <c r="CA56">
        <f t="shared" si="3"/>
        <v>-191710</v>
      </c>
      <c r="CB56">
        <f t="shared" si="3"/>
        <v>-196496</v>
      </c>
      <c r="CC56">
        <f t="shared" si="3"/>
        <v>-201681</v>
      </c>
      <c r="CD56">
        <f t="shared" si="3"/>
        <v>-206379</v>
      </c>
      <c r="CE56">
        <f t="shared" si="3"/>
        <v>-210554</v>
      </c>
      <c r="CF56">
        <f t="shared" si="3"/>
        <v>-214560</v>
      </c>
      <c r="CG56">
        <f t="shared" si="3"/>
        <v>-218217</v>
      </c>
      <c r="CH56">
        <f t="shared" si="3"/>
        <v>-222182</v>
      </c>
      <c r="CI56">
        <f t="shared" si="3"/>
        <v>-225695</v>
      </c>
      <c r="CJ56" s="5">
        <f t="shared" si="3"/>
        <v>-228398</v>
      </c>
      <c r="CK56">
        <f t="shared" si="3"/>
        <v>-231170</v>
      </c>
      <c r="CL56">
        <f t="shared" si="3"/>
        <v>-233714</v>
      </c>
      <c r="CM56">
        <f t="shared" si="3"/>
        <v>-235939</v>
      </c>
      <c r="CN56">
        <f t="shared" si="3"/>
        <v>-237599</v>
      </c>
      <c r="CO56">
        <f t="shared" si="3"/>
        <v>-239124</v>
      </c>
      <c r="CP56">
        <f t="shared" si="3"/>
        <v>-240388</v>
      </c>
      <c r="CQ56">
        <f t="shared" si="3"/>
        <v>-241450</v>
      </c>
      <c r="CR56">
        <f t="shared" si="3"/>
        <v>-242132</v>
      </c>
      <c r="CS56">
        <f t="shared" si="3"/>
        <v>-242486</v>
      </c>
      <c r="CT56">
        <f t="shared" si="3"/>
        <v>-242701</v>
      </c>
      <c r="CU56">
        <f t="shared" si="3"/>
        <v>-242672</v>
      </c>
      <c r="CV56">
        <f t="shared" si="3"/>
        <v>-242542</v>
      </c>
      <c r="CW56">
        <f t="shared" si="3"/>
        <v>-242164</v>
      </c>
      <c r="CX56">
        <f t="shared" si="3"/>
        <v>-241167</v>
      </c>
      <c r="CY56">
        <f t="shared" si="3"/>
        <v>-240269</v>
      </c>
      <c r="CZ56">
        <f t="shared" si="3"/>
        <v>-239584</v>
      </c>
    </row>
    <row r="58" spans="1:104" x14ac:dyDescent="0.3">
      <c r="A58" s="2" t="s">
        <v>37</v>
      </c>
    </row>
    <row r="59" spans="1:104" x14ac:dyDescent="0.3">
      <c r="A59" t="s">
        <v>38</v>
      </c>
    </row>
    <row r="60" spans="1:104" x14ac:dyDescent="0.3">
      <c r="A60"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B95BC-38A7-4E19-8943-DD6BBCD8F4B0}">
  <dimension ref="A1:B17"/>
  <sheetViews>
    <sheetView topLeftCell="A7" workbookViewId="0">
      <selection activeCell="B15" sqref="B15:B17"/>
    </sheetView>
  </sheetViews>
  <sheetFormatPr defaultRowHeight="14.4" x14ac:dyDescent="0.3"/>
  <sheetData>
    <row r="1" spans="1:2" x14ac:dyDescent="0.3">
      <c r="B1">
        <f>'Population by 5-year age groups'!D10</f>
        <v>1970</v>
      </c>
    </row>
    <row r="2" spans="1:2" x14ac:dyDescent="0.3">
      <c r="A2" t="s">
        <v>61</v>
      </c>
    </row>
    <row r="3" spans="1:2" x14ac:dyDescent="0.3">
      <c r="A3" t="s">
        <v>62</v>
      </c>
      <c r="B3">
        <f>SUM('Population by 5-year age groups'!D12:D14)</f>
        <v>2994804</v>
      </c>
    </row>
    <row r="4" spans="1:2" x14ac:dyDescent="0.3">
      <c r="A4" t="s">
        <v>63</v>
      </c>
      <c r="B4">
        <f>SUM('Population by 5-year age groups'!D15:D24)</f>
        <v>4544457</v>
      </c>
    </row>
    <row r="5" spans="1:2" x14ac:dyDescent="0.3">
      <c r="A5" t="s">
        <v>64</v>
      </c>
      <c r="B5">
        <f>SUM('Population by 5-year age groups'!D25:D32)</f>
        <v>193606</v>
      </c>
    </row>
    <row r="6" spans="1:2" x14ac:dyDescent="0.3">
      <c r="A6" t="s">
        <v>65</v>
      </c>
    </row>
    <row r="7" spans="1:2" x14ac:dyDescent="0.3">
      <c r="A7" t="s">
        <v>62</v>
      </c>
      <c r="B7">
        <f>SUM('Population by 5-year age groups'!D33:D35)</f>
        <v>2826335</v>
      </c>
    </row>
    <row r="8" spans="1:2" x14ac:dyDescent="0.3">
      <c r="A8" t="s">
        <v>63</v>
      </c>
      <c r="B8">
        <f>SUM('Population by 5-year age groups'!D36:D45)</f>
        <v>3882033</v>
      </c>
    </row>
    <row r="9" spans="1:2" x14ac:dyDescent="0.3">
      <c r="A9" t="s">
        <v>64</v>
      </c>
      <c r="B9">
        <f>SUM('Population by 5-year age groups'!D46:D53)</f>
        <v>234729</v>
      </c>
    </row>
    <row r="11" spans="1:2" x14ac:dyDescent="0.3">
      <c r="A11" t="s">
        <v>62</v>
      </c>
      <c r="B11">
        <f>B3+B7</f>
        <v>5821139</v>
      </c>
    </row>
    <row r="12" spans="1:2" x14ac:dyDescent="0.3">
      <c r="A12" t="s">
        <v>63</v>
      </c>
      <c r="B12">
        <f t="shared" ref="B12:B13" si="0">B4+B8</f>
        <v>8426490</v>
      </c>
    </row>
    <row r="13" spans="1:2" x14ac:dyDescent="0.3">
      <c r="A13" t="s">
        <v>64</v>
      </c>
      <c r="B13">
        <f t="shared" si="0"/>
        <v>428335</v>
      </c>
    </row>
    <row r="15" spans="1:2" x14ac:dyDescent="0.3">
      <c r="A15" t="s">
        <v>66</v>
      </c>
      <c r="B15">
        <f>B11/B12</f>
        <v>0.69081420615226508</v>
      </c>
    </row>
    <row r="16" spans="1:2" x14ac:dyDescent="0.3">
      <c r="A16" t="s">
        <v>67</v>
      </c>
      <c r="B16">
        <f>B13/B12</f>
        <v>5.0831959689028289E-2</v>
      </c>
    </row>
    <row r="17" spans="1:2" x14ac:dyDescent="0.3">
      <c r="A17" t="s">
        <v>68</v>
      </c>
      <c r="B17">
        <f>SUM(B15:B16)</f>
        <v>0.74164616584129339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E89FE-1453-4F6F-84A9-7A3BADD03332}">
  <dimension ref="A1:F43"/>
  <sheetViews>
    <sheetView topLeftCell="A17" workbookViewId="0">
      <selection activeCell="H19" sqref="H19"/>
    </sheetView>
  </sheetViews>
  <sheetFormatPr defaultRowHeight="14.4" x14ac:dyDescent="0.3"/>
  <sheetData>
    <row r="1" spans="1:6" x14ac:dyDescent="0.3">
      <c r="B1" t="str">
        <f>'Population by 5-year age groups'!B11</f>
        <v>Gender</v>
      </c>
      <c r="C1" t="str">
        <f>'Population by 5-year age groups'!C11</f>
        <v>Age</v>
      </c>
      <c r="D1">
        <v>1970</v>
      </c>
      <c r="E1">
        <v>2012</v>
      </c>
      <c r="F1">
        <v>2054</v>
      </c>
    </row>
    <row r="2" spans="1:6" x14ac:dyDescent="0.3">
      <c r="A2" s="1" t="s">
        <v>40</v>
      </c>
      <c r="B2" t="str">
        <f>'Population by 5-year age groups'!B12</f>
        <v>Male</v>
      </c>
      <c r="C2" t="str">
        <f>'Population by 5-year age groups'!C12</f>
        <v>'0-4</v>
      </c>
      <c r="D2">
        <f>-'Population by 5-year age groups'!D12</f>
        <v>-974034</v>
      </c>
      <c r="E2">
        <f>-'Population by 5-year age groups'!AT12</f>
        <v>-511559</v>
      </c>
      <c r="F2">
        <f>-'Population by 5-year age groups'!CJ12</f>
        <v>-227354</v>
      </c>
    </row>
    <row r="3" spans="1:6" x14ac:dyDescent="0.3">
      <c r="A3" s="1" t="s">
        <v>59</v>
      </c>
      <c r="B3" t="str">
        <f>'Population by 5-year age groups'!B13</f>
        <v>Male</v>
      </c>
      <c r="C3" t="str">
        <f>'Population by 5-year age groups'!C13</f>
        <v>'5-9</v>
      </c>
      <c r="D3">
        <f>-'Population by 5-year age groups'!D13</f>
        <v>-1032745</v>
      </c>
      <c r="E3">
        <f>-'Population by 5-year age groups'!AT13</f>
        <v>-558811</v>
      </c>
      <c r="F3">
        <f>-'Population by 5-year age groups'!CJ13</f>
        <v>-259980</v>
      </c>
    </row>
    <row r="4" spans="1:6" x14ac:dyDescent="0.3">
      <c r="A4" s="1" t="s">
        <v>60</v>
      </c>
      <c r="B4" t="str">
        <f>'Population by 5-year age groups'!B14</f>
        <v>Male</v>
      </c>
      <c r="C4" t="str">
        <f>'Population by 5-year age groups'!C14</f>
        <v>'10-14</v>
      </c>
      <c r="D4">
        <f>-'Population by 5-year age groups'!D14</f>
        <v>-988025</v>
      </c>
      <c r="E4">
        <f>-'Population by 5-year age groups'!AT14</f>
        <v>-709152</v>
      </c>
      <c r="F4">
        <f>-'Population by 5-year age groups'!CJ14</f>
        <v>-274872</v>
      </c>
    </row>
    <row r="5" spans="1:6" x14ac:dyDescent="0.3">
      <c r="A5" s="1" t="s">
        <v>41</v>
      </c>
      <c r="B5" t="str">
        <f>'Population by 5-year age groups'!B15</f>
        <v>Male</v>
      </c>
      <c r="C5" t="str">
        <f>'Population by 5-year age groups'!C15</f>
        <v>'15-19</v>
      </c>
      <c r="D5">
        <f>-'Population by 5-year age groups'!D15</f>
        <v>-899138</v>
      </c>
      <c r="E5">
        <f>-'Population by 5-year age groups'!AT15</f>
        <v>-839044</v>
      </c>
      <c r="F5">
        <f>-'Population by 5-year age groups'!CJ15</f>
        <v>-292275</v>
      </c>
    </row>
    <row r="6" spans="1:6" x14ac:dyDescent="0.3">
      <c r="A6" s="1" t="s">
        <v>42</v>
      </c>
      <c r="B6" t="str">
        <f>'Population by 5-year age groups'!B16</f>
        <v>Male</v>
      </c>
      <c r="C6" t="str">
        <f>'Population by 5-year age groups'!C16</f>
        <v>'20-24</v>
      </c>
      <c r="D6">
        <f>-'Population by 5-year age groups'!D16</f>
        <v>-613923</v>
      </c>
      <c r="E6">
        <f>-'Population by 5-year age groups'!AT16</f>
        <v>-840354</v>
      </c>
      <c r="F6">
        <f>-'Population by 5-year age groups'!CJ16</f>
        <v>-309665</v>
      </c>
    </row>
    <row r="7" spans="1:6" x14ac:dyDescent="0.3">
      <c r="A7" s="1" t="s">
        <v>43</v>
      </c>
      <c r="B7" t="str">
        <f>'Population by 5-year age groups'!B17</f>
        <v>Male</v>
      </c>
      <c r="C7" t="str">
        <f>'Population by 5-year age groups'!C17</f>
        <v>'25-29</v>
      </c>
      <c r="D7">
        <f>-'Population by 5-year age groups'!D17</f>
        <v>-476385</v>
      </c>
      <c r="E7">
        <f>-'Population by 5-year age groups'!AT17</f>
        <v>-857626</v>
      </c>
      <c r="F7">
        <f>-'Population by 5-year age groups'!CJ17</f>
        <v>-338877</v>
      </c>
    </row>
    <row r="8" spans="1:6" x14ac:dyDescent="0.3">
      <c r="A8" s="1" t="s">
        <v>44</v>
      </c>
      <c r="B8" t="str">
        <f>'Population by 5-year age groups'!B18</f>
        <v>Male</v>
      </c>
      <c r="C8" t="str">
        <f>'Population by 5-year age groups'!C18</f>
        <v>'30-34</v>
      </c>
      <c r="D8">
        <f>-'Population by 5-year age groups'!D18</f>
        <v>-464656</v>
      </c>
      <c r="E8">
        <f>-'Population by 5-year age groups'!AT18</f>
        <v>-1015792</v>
      </c>
      <c r="F8">
        <f>-'Population by 5-year age groups'!CJ18</f>
        <v>-388969</v>
      </c>
    </row>
    <row r="9" spans="1:6" x14ac:dyDescent="0.3">
      <c r="A9" s="1" t="s">
        <v>45</v>
      </c>
      <c r="B9" t="str">
        <f>'Population by 5-year age groups'!B19</f>
        <v>Male</v>
      </c>
      <c r="C9" t="str">
        <f>'Population by 5-year age groups'!C19</f>
        <v>'35-39</v>
      </c>
      <c r="D9">
        <f>-'Population by 5-year age groups'!D19</f>
        <v>-457330</v>
      </c>
      <c r="E9">
        <f>-'Population by 5-year age groups'!AT19</f>
        <v>-928490</v>
      </c>
      <c r="F9">
        <f>-'Population by 5-year age groups'!CJ19</f>
        <v>-511831</v>
      </c>
    </row>
    <row r="10" spans="1:6" x14ac:dyDescent="0.3">
      <c r="A10" s="1" t="s">
        <v>46</v>
      </c>
      <c r="B10" t="str">
        <f>'Population by 5-year age groups'!B20</f>
        <v>Male</v>
      </c>
      <c r="C10" t="str">
        <f>'Population by 5-year age groups'!C20</f>
        <v>'40-44</v>
      </c>
      <c r="D10">
        <f>-'Population by 5-year age groups'!D20</f>
        <v>-510649</v>
      </c>
      <c r="E10">
        <f>-'Population by 5-year age groups'!AT20</f>
        <v>-912991</v>
      </c>
      <c r="F10">
        <f>-'Population by 5-year age groups'!CJ20</f>
        <v>-522705</v>
      </c>
    </row>
    <row r="11" spans="1:6" x14ac:dyDescent="0.3">
      <c r="A11" s="1" t="s">
        <v>47</v>
      </c>
      <c r="B11" t="str">
        <f>'Population by 5-year age groups'!B21</f>
        <v>Male</v>
      </c>
      <c r="C11" t="str">
        <f>'Population by 5-year age groups'!C21</f>
        <v>'45-49</v>
      </c>
      <c r="D11">
        <f>-'Population by 5-year age groups'!D21</f>
        <v>-419615</v>
      </c>
      <c r="E11">
        <f>-'Population by 5-year age groups'!AT21</f>
        <v>-935207</v>
      </c>
      <c r="F11">
        <f>-'Population by 5-year age groups'!CJ21</f>
        <v>-517339</v>
      </c>
    </row>
    <row r="12" spans="1:6" x14ac:dyDescent="0.3">
      <c r="A12" s="1" t="s">
        <v>48</v>
      </c>
      <c r="B12" t="str">
        <f>'Population by 5-year age groups'!B22</f>
        <v>Male</v>
      </c>
      <c r="C12" t="str">
        <f>'Population by 5-year age groups'!C22</f>
        <v>'50-54</v>
      </c>
      <c r="D12">
        <f>-'Population by 5-year age groups'!D22</f>
        <v>-300538</v>
      </c>
      <c r="E12">
        <f>-'Population by 5-year age groups'!AT22</f>
        <v>-912094</v>
      </c>
      <c r="F12">
        <f>-'Population by 5-year age groups'!CJ22</f>
        <v>-625719</v>
      </c>
    </row>
    <row r="13" spans="1:6" x14ac:dyDescent="0.3">
      <c r="A13" s="1" t="s">
        <v>49</v>
      </c>
      <c r="B13" t="str">
        <f>'Population by 5-year age groups'!B23</f>
        <v>Male</v>
      </c>
      <c r="C13" t="str">
        <f>'Population by 5-year age groups'!C23</f>
        <v>'55-59</v>
      </c>
      <c r="D13">
        <f>-'Population by 5-year age groups'!D23</f>
        <v>-244831</v>
      </c>
      <c r="E13">
        <f>-'Population by 5-year age groups'!AT23</f>
        <v>-803377</v>
      </c>
      <c r="F13">
        <f>-'Population by 5-year age groups'!CJ23</f>
        <v>-731424</v>
      </c>
    </row>
    <row r="14" spans="1:6" x14ac:dyDescent="0.3">
      <c r="A14" s="1" t="s">
        <v>50</v>
      </c>
      <c r="B14" t="str">
        <f>'Population by 5-year age groups'!B24</f>
        <v>Male</v>
      </c>
      <c r="C14" t="str">
        <f>'Population by 5-year age groups'!C24</f>
        <v>'60-64</v>
      </c>
      <c r="D14">
        <f>-'Population by 5-year age groups'!D24</f>
        <v>-157392</v>
      </c>
      <c r="E14">
        <f>-'Population by 5-year age groups'!AT24</f>
        <v>-624453</v>
      </c>
      <c r="F14">
        <f>-'Population by 5-year age groups'!CJ24</f>
        <v>-749510</v>
      </c>
    </row>
    <row r="15" spans="1:6" x14ac:dyDescent="0.3">
      <c r="A15" s="1" t="s">
        <v>51</v>
      </c>
      <c r="B15" t="str">
        <f>'Population by 5-year age groups'!B25</f>
        <v>Male</v>
      </c>
      <c r="C15" t="str">
        <f>'Population by 5-year age groups'!C25</f>
        <v>'65-69</v>
      </c>
      <c r="D15">
        <f>-'Population by 5-year age groups'!D25</f>
        <v>-99126</v>
      </c>
      <c r="E15">
        <f>-'Population by 5-year age groups'!AT25</f>
        <v>-356836</v>
      </c>
      <c r="F15">
        <f>-'Population by 5-year age groups'!CJ25</f>
        <v>-690413</v>
      </c>
    </row>
    <row r="16" spans="1:6" x14ac:dyDescent="0.3">
      <c r="A16" s="1" t="s">
        <v>52</v>
      </c>
      <c r="B16" t="str">
        <f>'Population by 5-year age groups'!B26</f>
        <v>Male</v>
      </c>
      <c r="C16" t="str">
        <f>'Population by 5-year age groups'!C26</f>
        <v>'70-74</v>
      </c>
      <c r="D16">
        <f>-'Population by 5-year age groups'!D26</f>
        <v>-55176</v>
      </c>
      <c r="E16">
        <f>-'Population by 5-year age groups'!AT26</f>
        <v>-315219</v>
      </c>
      <c r="F16">
        <f>-'Population by 5-year age groups'!CJ26</f>
        <v>-758681</v>
      </c>
    </row>
    <row r="17" spans="1:6" x14ac:dyDescent="0.3">
      <c r="A17" s="1" t="s">
        <v>53</v>
      </c>
      <c r="B17" t="str">
        <f>'Population by 5-year age groups'!B27</f>
        <v>Male</v>
      </c>
      <c r="C17" t="str">
        <f>'Population by 5-year age groups'!C27</f>
        <v>'75-79</v>
      </c>
      <c r="D17">
        <f>-'Population by 5-year age groups'!D27</f>
        <v>-25421</v>
      </c>
      <c r="E17">
        <f>-'Population by 5-year age groups'!AT27</f>
        <v>-229340</v>
      </c>
      <c r="F17">
        <f>-'Population by 5-year age groups'!CJ27</f>
        <v>-664731</v>
      </c>
    </row>
    <row r="18" spans="1:6" x14ac:dyDescent="0.3">
      <c r="A18" s="1" t="s">
        <v>54</v>
      </c>
      <c r="B18" t="str">
        <f>'Population by 5-year age groups'!B28</f>
        <v>Male</v>
      </c>
      <c r="C18" t="str">
        <f>'Population by 5-year age groups'!C28</f>
        <v>'80-84</v>
      </c>
      <c r="D18">
        <f>-'Population by 5-year age groups'!D28</f>
        <v>-13883</v>
      </c>
      <c r="E18">
        <f>-'Population by 5-year age groups'!AT28</f>
        <v>-187308</v>
      </c>
      <c r="F18">
        <f>-'Population by 5-year age groups'!CJ28</f>
        <v>-479413</v>
      </c>
    </row>
    <row r="19" spans="1:6" x14ac:dyDescent="0.3">
      <c r="A19" s="1" t="s">
        <v>55</v>
      </c>
      <c r="B19" t="str">
        <f>'Population by 5-year age groups'!B29</f>
        <v>Male</v>
      </c>
      <c r="C19" t="str">
        <f>'Population by 5-year age groups'!C29</f>
        <v>'85-89</v>
      </c>
      <c r="E19">
        <f>-'Population by 5-year age groups'!AT29</f>
        <v>-98577</v>
      </c>
      <c r="F19">
        <f>-'Population by 5-year age groups'!CJ29</f>
        <v>-345867</v>
      </c>
    </row>
    <row r="20" spans="1:6" x14ac:dyDescent="0.3">
      <c r="A20" s="1" t="s">
        <v>56</v>
      </c>
      <c r="B20" t="str">
        <f>'Population by 5-year age groups'!B30</f>
        <v>Male</v>
      </c>
      <c r="C20" t="str">
        <f>'Population by 5-year age groups'!C30</f>
        <v>'90-94</v>
      </c>
      <c r="E20">
        <f>-'Population by 5-year age groups'!AT30</f>
        <v>-30022</v>
      </c>
      <c r="F20">
        <f>-'Population by 5-year age groups'!CJ30</f>
        <v>-193949</v>
      </c>
    </row>
    <row r="21" spans="1:6" x14ac:dyDescent="0.3">
      <c r="A21" s="1" t="s">
        <v>57</v>
      </c>
      <c r="B21" t="str">
        <f>'Population by 5-year age groups'!B31</f>
        <v>Male</v>
      </c>
      <c r="C21" t="str">
        <f>'Population by 5-year age groups'!C31</f>
        <v>'95-99</v>
      </c>
      <c r="E21">
        <f>-'Population by 5-year age groups'!AT31</f>
        <v>-5752</v>
      </c>
      <c r="F21">
        <f>-'Population by 5-year age groups'!CJ31</f>
        <v>-66773</v>
      </c>
    </row>
    <row r="22" spans="1:6" x14ac:dyDescent="0.3">
      <c r="A22" s="1" t="s">
        <v>58</v>
      </c>
      <c r="B22" t="str">
        <f>'Population by 5-year age groups'!B32</f>
        <v>Male</v>
      </c>
      <c r="C22" t="str">
        <f>'Population by 5-year age groups'!C32</f>
        <v>'100 +</v>
      </c>
      <c r="E22">
        <f>-'Population by 5-year age groups'!AT32</f>
        <v>-1315</v>
      </c>
      <c r="F22">
        <f>-'Population by 5-year age groups'!CJ32</f>
        <v>-11775</v>
      </c>
    </row>
    <row r="23" spans="1:6" x14ac:dyDescent="0.3">
      <c r="B23" t="str">
        <f>'Population by 5-year age groups'!B33</f>
        <v>Female</v>
      </c>
      <c r="C23" t="str">
        <f>'Population by 5-year age groups'!C33</f>
        <v>'0-4</v>
      </c>
      <c r="D23">
        <f>'Population by 5-year age groups'!D33</f>
        <v>914496</v>
      </c>
      <c r="E23">
        <f>'Population by 5-year age groups'!AT33</f>
        <v>472124</v>
      </c>
      <c r="F23">
        <f>'Population by 5-year age groups'!CJ33</f>
        <v>202679</v>
      </c>
    </row>
    <row r="24" spans="1:6" x14ac:dyDescent="0.3">
      <c r="B24" t="str">
        <f>'Population by 5-year age groups'!B34</f>
        <v>Female</v>
      </c>
      <c r="C24" t="str">
        <f>'Population by 5-year age groups'!C34</f>
        <v>'5-9</v>
      </c>
      <c r="D24">
        <f>'Population by 5-year age groups'!D34</f>
        <v>974686</v>
      </c>
      <c r="E24">
        <f>'Population by 5-year age groups'!AT34</f>
        <v>509463</v>
      </c>
      <c r="F24">
        <f>'Population by 5-year age groups'!CJ34</f>
        <v>230896</v>
      </c>
    </row>
    <row r="25" spans="1:6" x14ac:dyDescent="0.3">
      <c r="B25" t="str">
        <f>'Population by 5-year age groups'!B35</f>
        <v>Female</v>
      </c>
      <c r="C25" t="str">
        <f>'Population by 5-year age groups'!C35</f>
        <v>'10-14</v>
      </c>
      <c r="D25">
        <f>'Population by 5-year age groups'!D35</f>
        <v>937153</v>
      </c>
      <c r="E25">
        <f>'Population by 5-year age groups'!AT35</f>
        <v>650568</v>
      </c>
      <c r="F25">
        <f>'Population by 5-year age groups'!CJ35</f>
        <v>245519</v>
      </c>
    </row>
    <row r="26" spans="1:6" x14ac:dyDescent="0.3">
      <c r="B26" t="str">
        <f>'Population by 5-year age groups'!B36</f>
        <v>Female</v>
      </c>
      <c r="C26" t="str">
        <f>'Population by 5-year age groups'!C36</f>
        <v>'15-19</v>
      </c>
      <c r="D26">
        <f>'Population by 5-year age groups'!D36</f>
        <v>854662</v>
      </c>
      <c r="E26">
        <f>'Population by 5-year age groups'!AT36</f>
        <v>776481</v>
      </c>
      <c r="F26">
        <f>'Population by 5-year age groups'!CJ36</f>
        <v>263398</v>
      </c>
    </row>
    <row r="27" spans="1:6" x14ac:dyDescent="0.3">
      <c r="B27" t="str">
        <f>'Population by 5-year age groups'!B37</f>
        <v>Female</v>
      </c>
      <c r="C27" t="str">
        <f>'Population by 5-year age groups'!C37</f>
        <v>'20-24</v>
      </c>
      <c r="D27">
        <f>'Population by 5-year age groups'!D37</f>
        <v>584014</v>
      </c>
      <c r="E27">
        <f>'Population by 5-year age groups'!AT37</f>
        <v>775225</v>
      </c>
      <c r="F27">
        <f>'Population by 5-year age groups'!CJ37</f>
        <v>283680</v>
      </c>
    </row>
    <row r="28" spans="1:6" x14ac:dyDescent="0.3">
      <c r="B28" t="str">
        <f>'Population by 5-year age groups'!B38</f>
        <v>Female</v>
      </c>
      <c r="C28" t="str">
        <f>'Population by 5-year age groups'!C38</f>
        <v>'25-29</v>
      </c>
      <c r="D28">
        <f>'Population by 5-year age groups'!D38</f>
        <v>449632</v>
      </c>
      <c r="E28">
        <f>'Population by 5-year age groups'!AT38</f>
        <v>830809</v>
      </c>
      <c r="F28">
        <f>'Population by 5-year age groups'!CJ38</f>
        <v>315864</v>
      </c>
    </row>
    <row r="29" spans="1:6" x14ac:dyDescent="0.3">
      <c r="B29" t="str">
        <f>'Population by 5-year age groups'!B39</f>
        <v>Female</v>
      </c>
      <c r="C29" t="str">
        <f>'Population by 5-year age groups'!C39</f>
        <v>'30-34</v>
      </c>
      <c r="D29">
        <f>'Population by 5-year age groups'!D39</f>
        <v>443492</v>
      </c>
      <c r="E29">
        <f>'Population by 5-year age groups'!AT39</f>
        <v>1023196</v>
      </c>
      <c r="F29">
        <f>'Population by 5-year age groups'!CJ39</f>
        <v>372354</v>
      </c>
    </row>
    <row r="30" spans="1:6" x14ac:dyDescent="0.3">
      <c r="B30" t="str">
        <f>'Population by 5-year age groups'!B40</f>
        <v>Female</v>
      </c>
      <c r="C30" t="str">
        <f>'Population by 5-year age groups'!C40</f>
        <v>'35-39</v>
      </c>
      <c r="D30">
        <f>'Population by 5-year age groups'!D40</f>
        <v>388501</v>
      </c>
      <c r="E30">
        <f>'Population by 5-year age groups'!AT40</f>
        <v>945898</v>
      </c>
      <c r="F30">
        <f>'Population by 5-year age groups'!CJ40</f>
        <v>494761</v>
      </c>
    </row>
    <row r="31" spans="1:6" x14ac:dyDescent="0.3">
      <c r="B31" t="str">
        <f>'Population by 5-year age groups'!B41</f>
        <v>Female</v>
      </c>
      <c r="C31" t="str">
        <f>'Population by 5-year age groups'!C41</f>
        <v>'40-44</v>
      </c>
      <c r="D31">
        <f>'Population by 5-year age groups'!D41</f>
        <v>339713</v>
      </c>
      <c r="E31">
        <f>'Population by 5-year age groups'!AT41</f>
        <v>924215</v>
      </c>
      <c r="F31">
        <f>'Population by 5-year age groups'!CJ41</f>
        <v>509814</v>
      </c>
    </row>
    <row r="32" spans="1:6" x14ac:dyDescent="0.3">
      <c r="B32" t="str">
        <f>'Population by 5-year age groups'!B42</f>
        <v>Female</v>
      </c>
      <c r="C32" t="str">
        <f>'Population by 5-year age groups'!C42</f>
        <v>'45-49</v>
      </c>
      <c r="D32">
        <f>'Population by 5-year age groups'!D42</f>
        <v>278713</v>
      </c>
      <c r="E32">
        <f>'Population by 5-year age groups'!AT42</f>
        <v>939746</v>
      </c>
      <c r="F32">
        <f>'Population by 5-year age groups'!CJ42</f>
        <v>503231</v>
      </c>
    </row>
    <row r="33" spans="2:6" x14ac:dyDescent="0.3">
      <c r="B33" t="str">
        <f>'Population by 5-year age groups'!B43</f>
        <v>Female</v>
      </c>
      <c r="C33" t="str">
        <f>'Population by 5-year age groups'!C43</f>
        <v>'50-54</v>
      </c>
      <c r="D33">
        <f>'Population by 5-year age groups'!D43</f>
        <v>213902</v>
      </c>
      <c r="E33">
        <f>'Population by 5-year age groups'!AT43</f>
        <v>926068</v>
      </c>
      <c r="F33">
        <f>'Population by 5-year age groups'!CJ43</f>
        <v>610038</v>
      </c>
    </row>
    <row r="34" spans="2:6" x14ac:dyDescent="0.3">
      <c r="B34" t="str">
        <f>'Population by 5-year age groups'!B44</f>
        <v>Female</v>
      </c>
      <c r="C34" t="str">
        <f>'Population by 5-year age groups'!C44</f>
        <v>'55-59</v>
      </c>
      <c r="D34">
        <f>'Population by 5-year age groups'!D44</f>
        <v>186467</v>
      </c>
      <c r="E34">
        <f>'Population by 5-year age groups'!AT44</f>
        <v>833060</v>
      </c>
      <c r="F34">
        <f>'Population by 5-year age groups'!CJ44</f>
        <v>727556</v>
      </c>
    </row>
    <row r="35" spans="2:6" x14ac:dyDescent="0.3">
      <c r="B35" t="str">
        <f>'Population by 5-year age groups'!B45</f>
        <v>Female</v>
      </c>
      <c r="C35" t="str">
        <f>'Population by 5-year age groups'!C45</f>
        <v>'60-64</v>
      </c>
      <c r="D35">
        <f>'Population by 5-year age groups'!D45</f>
        <v>142937</v>
      </c>
      <c r="E35">
        <f>'Population by 5-year age groups'!AT45</f>
        <v>659867</v>
      </c>
      <c r="F35">
        <f>'Population by 5-year age groups'!CJ45</f>
        <v>759984</v>
      </c>
    </row>
    <row r="36" spans="2:6" x14ac:dyDescent="0.3">
      <c r="B36" t="str">
        <f>'Population by 5-year age groups'!B46</f>
        <v>Female</v>
      </c>
      <c r="C36" t="str">
        <f>'Population by 5-year age groups'!C46</f>
        <v>'65-69</v>
      </c>
      <c r="D36">
        <f>'Population by 5-year age groups'!D46</f>
        <v>101266</v>
      </c>
      <c r="E36">
        <f>'Population by 5-year age groups'!AT46</f>
        <v>390644</v>
      </c>
      <c r="F36">
        <f>'Population by 5-year age groups'!CJ46</f>
        <v>749597</v>
      </c>
    </row>
    <row r="37" spans="2:6" x14ac:dyDescent="0.3">
      <c r="B37" t="str">
        <f>'Population by 5-year age groups'!B47</f>
        <v>Female</v>
      </c>
      <c r="C37" t="str">
        <f>'Population by 5-year age groups'!C47</f>
        <v>'70-74</v>
      </c>
      <c r="D37">
        <f>'Population by 5-year age groups'!D47</f>
        <v>66959</v>
      </c>
      <c r="E37">
        <f>'Population by 5-year age groups'!AT47</f>
        <v>367737</v>
      </c>
      <c r="F37">
        <f>'Population by 5-year age groups'!CJ47</f>
        <v>905707</v>
      </c>
    </row>
    <row r="38" spans="2:6" x14ac:dyDescent="0.3">
      <c r="B38" t="str">
        <f>'Population by 5-year age groups'!B48</f>
        <v>Female</v>
      </c>
      <c r="C38" t="str">
        <f>'Population by 5-year age groups'!C48</f>
        <v>'75-79</v>
      </c>
      <c r="D38">
        <f>'Population by 5-year age groups'!D48</f>
        <v>37583</v>
      </c>
      <c r="E38">
        <f>'Population by 5-year age groups'!AT48</f>
        <v>280443</v>
      </c>
      <c r="F38">
        <f>'Population by 5-year age groups'!CJ48</f>
        <v>856432</v>
      </c>
    </row>
    <row r="39" spans="2:6" x14ac:dyDescent="0.3">
      <c r="B39" t="str">
        <f>'Population by 5-year age groups'!B49</f>
        <v>Female</v>
      </c>
      <c r="C39" t="str">
        <f>'Population by 5-year age groups'!C49</f>
        <v>'80-84</v>
      </c>
      <c r="D39">
        <f>'Population by 5-year age groups'!D49</f>
        <v>28921</v>
      </c>
      <c r="E39">
        <f>'Population by 5-year age groups'!AT49</f>
        <v>191268</v>
      </c>
      <c r="F39">
        <f>'Population by 5-year age groups'!CJ49</f>
        <v>684894</v>
      </c>
    </row>
    <row r="40" spans="2:6" x14ac:dyDescent="0.3">
      <c r="B40" t="str">
        <f>'Population by 5-year age groups'!B50</f>
        <v>Female</v>
      </c>
      <c r="C40" t="str">
        <f>'Population by 5-year age groups'!C50</f>
        <v>'85-89</v>
      </c>
      <c r="E40">
        <f>'Population by 5-year age groups'!AT50</f>
        <v>100306</v>
      </c>
      <c r="F40">
        <f>'Population by 5-year age groups'!CJ50</f>
        <v>554961</v>
      </c>
    </row>
    <row r="41" spans="2:6" x14ac:dyDescent="0.3">
      <c r="B41" t="str">
        <f>'Population by 5-year age groups'!B51</f>
        <v>Female</v>
      </c>
      <c r="C41" t="str">
        <f>'Population by 5-year age groups'!C51</f>
        <v>'90-94</v>
      </c>
      <c r="E41">
        <f>'Population by 5-year age groups'!AT51</f>
        <v>36268</v>
      </c>
      <c r="F41">
        <f>'Population by 5-year age groups'!CJ51</f>
        <v>370655</v>
      </c>
    </row>
    <row r="42" spans="2:6" x14ac:dyDescent="0.3">
      <c r="B42" t="str">
        <f>'Population by 5-year age groups'!B52</f>
        <v>Female</v>
      </c>
      <c r="C42" t="str">
        <f>'Population by 5-year age groups'!C52</f>
        <v>'95-99</v>
      </c>
      <c r="E42">
        <f>'Population by 5-year age groups'!AT52</f>
        <v>7833</v>
      </c>
      <c r="F42">
        <f>'Population by 5-year age groups'!CJ52</f>
        <v>160897</v>
      </c>
    </row>
    <row r="43" spans="2:6" x14ac:dyDescent="0.3">
      <c r="B43" t="str">
        <f>'Population by 5-year age groups'!B53</f>
        <v>Female</v>
      </c>
      <c r="C43" t="str">
        <f>'Population by 5-year age groups'!C53</f>
        <v>'100 +</v>
      </c>
      <c r="E43">
        <f>'Population by 5-year age groups'!AT53</f>
        <v>1284</v>
      </c>
      <c r="F43">
        <f>'Population by 5-year age groups'!CJ53</f>
        <v>37300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Charts</vt:lpstr>
      </vt:variant>
      <vt:variant>
        <vt:i4>3</vt:i4>
      </vt:variant>
    </vt:vector>
  </HeadingPairs>
  <TitlesOfParts>
    <vt:vector size="6" baseType="lpstr">
      <vt:lpstr>Population by 5-year age groups</vt:lpstr>
      <vt:lpstr>Dependency</vt:lpstr>
      <vt:lpstr>PPdata</vt:lpstr>
      <vt:lpstr>pp1970</vt:lpstr>
      <vt:lpstr>pp2012</vt:lpstr>
      <vt:lpstr>pp2054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Alter, George</cp:lastModifiedBy>
  <dcterms:created xsi:type="dcterms:W3CDTF">2025-04-24T15:16:46Z</dcterms:created>
  <dcterms:modified xsi:type="dcterms:W3CDTF">2025-08-06T18:41:38Z</dcterms:modified>
</cp:coreProperties>
</file>