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ka/Downloads/"/>
    </mc:Choice>
  </mc:AlternateContent>
  <xr:revisionPtr revIDLastSave="0" documentId="8_{52F60DA5-A0FD-D047-89D3-57408DF6285C}" xr6:coauthVersionLast="47" xr6:coauthVersionMax="47" xr10:uidLastSave="{00000000-0000-0000-0000-000000000000}"/>
  <bookViews>
    <workbookView xWindow="0" yWindow="0" windowWidth="25600" windowHeight="16000" activeTab="10" xr2:uid="{951C921F-B003-4D6F-839D-FA043140F146}"/>
  </bookViews>
  <sheets>
    <sheet name="NSO data" sheetId="1" r:id="rId1"/>
    <sheet name="Countries min max" sheetId="2" r:id="rId2"/>
    <sheet name="New France" sheetId="5" r:id="rId3"/>
    <sheet name="Quebec Catholics" sheetId="6" r:id="rId4"/>
    <sheet name="Canada" sheetId="8" r:id="rId5"/>
    <sheet name="Quebec" sheetId="9" r:id="rId6"/>
    <sheet name="Estonia" sheetId="10" r:id="rId7"/>
    <sheet name="Korean Peninsula" sheetId="11" r:id="rId8"/>
    <sheet name="Iceland" sheetId="15" r:id="rId9"/>
    <sheet name="Taiwan" sheetId="16" r:id="rId10"/>
    <sheet name="Series - Metadata" sheetId="7" r:id="rId11"/>
    <sheet name="Data Pasting Sheet (KEEP) " sheetId="13" r:id="rId1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6" l="1"/>
  <c r="D6" i="16"/>
  <c r="D7" i="16"/>
  <c r="D8" i="16"/>
  <c r="D9" i="16"/>
  <c r="D10" i="16"/>
  <c r="D12" i="16"/>
  <c r="D13" i="16"/>
  <c r="D14" i="16"/>
  <c r="D15" i="16"/>
  <c r="D2" i="16"/>
  <c r="A13" i="16"/>
  <c r="A14" i="16" s="1"/>
  <c r="A15" i="16" s="1"/>
  <c r="A9" i="16"/>
  <c r="A10" i="16" s="1"/>
  <c r="A11" i="16" s="1"/>
  <c r="A12" i="16" s="1"/>
  <c r="A8" i="16"/>
  <c r="G11" i="15"/>
  <c r="G12" i="15"/>
  <c r="G19" i="15"/>
  <c r="G20" i="15"/>
  <c r="G27" i="15"/>
  <c r="G28" i="15"/>
  <c r="G35" i="15"/>
  <c r="G36" i="15"/>
  <c r="G43" i="15"/>
  <c r="G44" i="15"/>
  <c r="G51" i="15"/>
  <c r="G52" i="15"/>
  <c r="G59" i="15"/>
  <c r="G60" i="15"/>
  <c r="G67" i="15"/>
  <c r="G68" i="15"/>
  <c r="G75" i="15"/>
  <c r="G76" i="15"/>
  <c r="G83" i="15"/>
  <c r="G84" i="15"/>
  <c r="G91" i="15"/>
  <c r="G92" i="15"/>
  <c r="G99" i="15"/>
  <c r="G100" i="15"/>
  <c r="G107" i="15"/>
  <c r="G108" i="15"/>
  <c r="G5" i="15"/>
  <c r="C6" i="15"/>
  <c r="G6" i="15" s="1"/>
  <c r="C11" i="15"/>
  <c r="C12" i="15"/>
  <c r="C13" i="15"/>
  <c r="G13" i="15" s="1"/>
  <c r="C14" i="15"/>
  <c r="G14" i="15" s="1"/>
  <c r="C19" i="15"/>
  <c r="C20" i="15"/>
  <c r="C21" i="15"/>
  <c r="G21" i="15" s="1"/>
  <c r="C22" i="15"/>
  <c r="G22" i="15" s="1"/>
  <c r="C27" i="15"/>
  <c r="C28" i="15"/>
  <c r="C29" i="15"/>
  <c r="G29" i="15" s="1"/>
  <c r="C30" i="15"/>
  <c r="G30" i="15" s="1"/>
  <c r="C35" i="15"/>
  <c r="C36" i="15"/>
  <c r="C37" i="15"/>
  <c r="G37" i="15" s="1"/>
  <c r="C38" i="15"/>
  <c r="G38" i="15" s="1"/>
  <c r="C43" i="15"/>
  <c r="C44" i="15"/>
  <c r="C45" i="15"/>
  <c r="G45" i="15" s="1"/>
  <c r="C46" i="15"/>
  <c r="G46" i="15" s="1"/>
  <c r="C51" i="15"/>
  <c r="C52" i="15"/>
  <c r="C53" i="15"/>
  <c r="G53" i="15" s="1"/>
  <c r="C54" i="15"/>
  <c r="G54" i="15" s="1"/>
  <c r="C59" i="15"/>
  <c r="C60" i="15"/>
  <c r="C61" i="15"/>
  <c r="G61" i="15" s="1"/>
  <c r="C62" i="15"/>
  <c r="G62" i="15" s="1"/>
  <c r="C67" i="15"/>
  <c r="C68" i="15"/>
  <c r="C69" i="15"/>
  <c r="G69" i="15" s="1"/>
  <c r="C70" i="15"/>
  <c r="G70" i="15" s="1"/>
  <c r="C75" i="15"/>
  <c r="C76" i="15"/>
  <c r="C77" i="15"/>
  <c r="G77" i="15" s="1"/>
  <c r="C78" i="15"/>
  <c r="G78" i="15" s="1"/>
  <c r="C83" i="15"/>
  <c r="C84" i="15"/>
  <c r="C85" i="15"/>
  <c r="G85" i="15" s="1"/>
  <c r="C86" i="15"/>
  <c r="G86" i="15" s="1"/>
  <c r="C91" i="15"/>
  <c r="C92" i="15"/>
  <c r="C93" i="15"/>
  <c r="G93" i="15" s="1"/>
  <c r="C94" i="15"/>
  <c r="G94" i="15" s="1"/>
  <c r="C99" i="15"/>
  <c r="C100" i="15"/>
  <c r="C101" i="15"/>
  <c r="G101" i="15" s="1"/>
  <c r="C102" i="15"/>
  <c r="G102" i="15" s="1"/>
  <c r="C107" i="15"/>
  <c r="C108" i="15"/>
  <c r="C109" i="15"/>
  <c r="G109" i="15" s="1"/>
  <c r="C110" i="15"/>
  <c r="G110" i="15" s="1"/>
  <c r="C5" i="15"/>
  <c r="F6" i="15"/>
  <c r="F7" i="15"/>
  <c r="C7" i="15" s="1"/>
  <c r="G7" i="15" s="1"/>
  <c r="F8" i="15"/>
  <c r="C8" i="15" s="1"/>
  <c r="G8" i="15" s="1"/>
  <c r="F9" i="15"/>
  <c r="C9" i="15" s="1"/>
  <c r="G9" i="15" s="1"/>
  <c r="F10" i="15"/>
  <c r="C10" i="15" s="1"/>
  <c r="G10" i="15" s="1"/>
  <c r="F11" i="15"/>
  <c r="F12" i="15"/>
  <c r="F13" i="15"/>
  <c r="F14" i="15"/>
  <c r="F15" i="15"/>
  <c r="C15" i="15" s="1"/>
  <c r="G15" i="15" s="1"/>
  <c r="F16" i="15"/>
  <c r="C16" i="15" s="1"/>
  <c r="G16" i="15" s="1"/>
  <c r="F17" i="15"/>
  <c r="C17" i="15" s="1"/>
  <c r="G17" i="15" s="1"/>
  <c r="F18" i="15"/>
  <c r="C18" i="15" s="1"/>
  <c r="G18" i="15" s="1"/>
  <c r="F19" i="15"/>
  <c r="F20" i="15"/>
  <c r="F21" i="15"/>
  <c r="F22" i="15"/>
  <c r="F23" i="15"/>
  <c r="C23" i="15" s="1"/>
  <c r="G23" i="15" s="1"/>
  <c r="F24" i="15"/>
  <c r="C24" i="15" s="1"/>
  <c r="G24" i="15" s="1"/>
  <c r="F25" i="15"/>
  <c r="C25" i="15" s="1"/>
  <c r="G25" i="15" s="1"/>
  <c r="F26" i="15"/>
  <c r="C26" i="15" s="1"/>
  <c r="G26" i="15" s="1"/>
  <c r="F27" i="15"/>
  <c r="F28" i="15"/>
  <c r="F29" i="15"/>
  <c r="F30" i="15"/>
  <c r="F31" i="15"/>
  <c r="C31" i="15" s="1"/>
  <c r="G31" i="15" s="1"/>
  <c r="F32" i="15"/>
  <c r="C32" i="15" s="1"/>
  <c r="G32" i="15" s="1"/>
  <c r="F33" i="15"/>
  <c r="C33" i="15" s="1"/>
  <c r="G33" i="15" s="1"/>
  <c r="F34" i="15"/>
  <c r="C34" i="15" s="1"/>
  <c r="G34" i="15" s="1"/>
  <c r="F35" i="15"/>
  <c r="F36" i="15"/>
  <c r="F37" i="15"/>
  <c r="F38" i="15"/>
  <c r="F39" i="15"/>
  <c r="C39" i="15" s="1"/>
  <c r="G39" i="15" s="1"/>
  <c r="F40" i="15"/>
  <c r="C40" i="15" s="1"/>
  <c r="G40" i="15" s="1"/>
  <c r="F41" i="15"/>
  <c r="C41" i="15" s="1"/>
  <c r="G41" i="15" s="1"/>
  <c r="F42" i="15"/>
  <c r="C42" i="15" s="1"/>
  <c r="G42" i="15" s="1"/>
  <c r="F43" i="15"/>
  <c r="F44" i="15"/>
  <c r="F45" i="15"/>
  <c r="F46" i="15"/>
  <c r="F47" i="15"/>
  <c r="C47" i="15" s="1"/>
  <c r="G47" i="15" s="1"/>
  <c r="F48" i="15"/>
  <c r="C48" i="15" s="1"/>
  <c r="G48" i="15" s="1"/>
  <c r="F49" i="15"/>
  <c r="C49" i="15" s="1"/>
  <c r="G49" i="15" s="1"/>
  <c r="F50" i="15"/>
  <c r="C50" i="15" s="1"/>
  <c r="G50" i="15" s="1"/>
  <c r="F51" i="15"/>
  <c r="F52" i="15"/>
  <c r="F53" i="15"/>
  <c r="F54" i="15"/>
  <c r="F55" i="15"/>
  <c r="C55" i="15" s="1"/>
  <c r="G55" i="15" s="1"/>
  <c r="F56" i="15"/>
  <c r="C56" i="15" s="1"/>
  <c r="G56" i="15" s="1"/>
  <c r="F57" i="15"/>
  <c r="C57" i="15" s="1"/>
  <c r="G57" i="15" s="1"/>
  <c r="F58" i="15"/>
  <c r="C58" i="15" s="1"/>
  <c r="G58" i="15" s="1"/>
  <c r="F59" i="15"/>
  <c r="F60" i="15"/>
  <c r="F61" i="15"/>
  <c r="F62" i="15"/>
  <c r="F63" i="15"/>
  <c r="C63" i="15" s="1"/>
  <c r="G63" i="15" s="1"/>
  <c r="F64" i="15"/>
  <c r="C64" i="15" s="1"/>
  <c r="G64" i="15" s="1"/>
  <c r="F65" i="15"/>
  <c r="C65" i="15" s="1"/>
  <c r="G65" i="15" s="1"/>
  <c r="F66" i="15"/>
  <c r="C66" i="15" s="1"/>
  <c r="G66" i="15" s="1"/>
  <c r="F67" i="15"/>
  <c r="F68" i="15"/>
  <c r="F69" i="15"/>
  <c r="F70" i="15"/>
  <c r="F71" i="15"/>
  <c r="C71" i="15" s="1"/>
  <c r="G71" i="15" s="1"/>
  <c r="F72" i="15"/>
  <c r="C72" i="15" s="1"/>
  <c r="G72" i="15" s="1"/>
  <c r="F73" i="15"/>
  <c r="C73" i="15" s="1"/>
  <c r="G73" i="15" s="1"/>
  <c r="F74" i="15"/>
  <c r="C74" i="15" s="1"/>
  <c r="G74" i="15" s="1"/>
  <c r="F75" i="15"/>
  <c r="F76" i="15"/>
  <c r="F77" i="15"/>
  <c r="F78" i="15"/>
  <c r="F79" i="15"/>
  <c r="C79" i="15" s="1"/>
  <c r="G79" i="15" s="1"/>
  <c r="F80" i="15"/>
  <c r="C80" i="15" s="1"/>
  <c r="G80" i="15" s="1"/>
  <c r="F81" i="15"/>
  <c r="C81" i="15" s="1"/>
  <c r="G81" i="15" s="1"/>
  <c r="F82" i="15"/>
  <c r="C82" i="15" s="1"/>
  <c r="G82" i="15" s="1"/>
  <c r="F83" i="15"/>
  <c r="F84" i="15"/>
  <c r="F85" i="15"/>
  <c r="F86" i="15"/>
  <c r="F87" i="15"/>
  <c r="C87" i="15" s="1"/>
  <c r="G87" i="15" s="1"/>
  <c r="F88" i="15"/>
  <c r="C88" i="15" s="1"/>
  <c r="G88" i="15" s="1"/>
  <c r="F89" i="15"/>
  <c r="C89" i="15" s="1"/>
  <c r="G89" i="15" s="1"/>
  <c r="F90" i="15"/>
  <c r="C90" i="15" s="1"/>
  <c r="G90" i="15" s="1"/>
  <c r="F91" i="15"/>
  <c r="F92" i="15"/>
  <c r="F93" i="15"/>
  <c r="F94" i="15"/>
  <c r="F95" i="15"/>
  <c r="C95" i="15" s="1"/>
  <c r="G95" i="15" s="1"/>
  <c r="F96" i="15"/>
  <c r="C96" i="15" s="1"/>
  <c r="G96" i="15" s="1"/>
  <c r="F97" i="15"/>
  <c r="C97" i="15" s="1"/>
  <c r="G97" i="15" s="1"/>
  <c r="F98" i="15"/>
  <c r="C98" i="15" s="1"/>
  <c r="G98" i="15" s="1"/>
  <c r="F99" i="15"/>
  <c r="F100" i="15"/>
  <c r="F101" i="15"/>
  <c r="F102" i="15"/>
  <c r="F103" i="15"/>
  <c r="C103" i="15" s="1"/>
  <c r="G103" i="15" s="1"/>
  <c r="F104" i="15"/>
  <c r="C104" i="15" s="1"/>
  <c r="G104" i="15" s="1"/>
  <c r="F105" i="15"/>
  <c r="C105" i="15" s="1"/>
  <c r="G105" i="15" s="1"/>
  <c r="F106" i="15"/>
  <c r="C106" i="15" s="1"/>
  <c r="G106" i="15" s="1"/>
  <c r="F107" i="15"/>
  <c r="F108" i="15"/>
  <c r="F109" i="15"/>
  <c r="F110" i="15"/>
  <c r="F111" i="15"/>
  <c r="C111" i="15" s="1"/>
  <c r="G111" i="15" s="1"/>
  <c r="F112" i="15"/>
  <c r="C112" i="15" s="1"/>
  <c r="G112" i="15" s="1"/>
  <c r="F113" i="15"/>
  <c r="C113" i="15" s="1"/>
  <c r="G113" i="15" s="1"/>
  <c r="F114" i="15"/>
  <c r="C114" i="15" s="1"/>
  <c r="G114" i="15" s="1"/>
  <c r="F5" i="15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37" i="11"/>
  <c r="H37" i="11" a="1"/>
  <c r="H37" i="11" s="1"/>
  <c r="O7" i="11"/>
  <c r="O12" i="11"/>
  <c r="O17" i="11"/>
  <c r="O21" i="11"/>
  <c r="O2" i="1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3" i="11"/>
  <c r="A28" i="1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A4" i="9"/>
  <c r="A5" i="9"/>
  <c r="A6" i="9"/>
  <c r="A7" i="9" s="1"/>
  <c r="A8" i="9" s="1"/>
  <c r="A9" i="9" s="1"/>
  <c r="A3" i="9"/>
  <c r="A4" i="8"/>
  <c r="A5" i="8" s="1"/>
  <c r="A6" i="8" s="1"/>
  <c r="A7" i="8" s="1"/>
  <c r="A8" i="8" s="1"/>
  <c r="A9" i="8" s="1"/>
  <c r="A3" i="8"/>
  <c r="D13" i="6"/>
  <c r="D12" i="6"/>
  <c r="D11" i="6"/>
  <c r="D10" i="6"/>
  <c r="D9" i="6"/>
  <c r="D8" i="6"/>
  <c r="D7" i="6"/>
  <c r="D6" i="6"/>
  <c r="D5" i="6"/>
  <c r="D4" i="6"/>
  <c r="D3" i="6"/>
  <c r="D2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I37" i="11" l="1"/>
  <c r="I95" i="11"/>
  <c r="I87" i="11"/>
  <c r="I79" i="11"/>
  <c r="I71" i="11"/>
  <c r="I63" i="11"/>
  <c r="I55" i="11"/>
  <c r="I47" i="11"/>
  <c r="I39" i="11"/>
  <c r="K96" i="11"/>
  <c r="K88" i="11"/>
  <c r="K80" i="11"/>
  <c r="K72" i="11"/>
  <c r="K64" i="11"/>
  <c r="K56" i="11"/>
  <c r="K48" i="11"/>
  <c r="K40" i="11"/>
  <c r="I94" i="11"/>
  <c r="I86" i="11"/>
  <c r="I78" i="11"/>
  <c r="I70" i="11"/>
  <c r="I62" i="11"/>
  <c r="I54" i="11"/>
  <c r="I46" i="11"/>
  <c r="I38" i="11"/>
  <c r="K95" i="11"/>
  <c r="K87" i="11"/>
  <c r="K79" i="11"/>
  <c r="K71" i="11"/>
  <c r="K63" i="11"/>
  <c r="K55" i="11"/>
  <c r="K47" i="11"/>
  <c r="K39" i="11"/>
  <c r="I93" i="11"/>
  <c r="I85" i="11"/>
  <c r="I77" i="11"/>
  <c r="I69" i="11"/>
  <c r="I61" i="11"/>
  <c r="I53" i="11"/>
  <c r="I45" i="11"/>
  <c r="K37" i="11"/>
  <c r="K94" i="11"/>
  <c r="K86" i="11"/>
  <c r="K78" i="11"/>
  <c r="K70" i="11"/>
  <c r="K62" i="11"/>
  <c r="K54" i="11"/>
  <c r="K46" i="11"/>
  <c r="K38" i="11"/>
  <c r="I100" i="11"/>
  <c r="I92" i="11"/>
  <c r="I84" i="11"/>
  <c r="I76" i="11"/>
  <c r="I68" i="11"/>
  <c r="I60" i="11"/>
  <c r="I52" i="11"/>
  <c r="I44" i="11"/>
  <c r="K93" i="11"/>
  <c r="K85" i="11"/>
  <c r="K77" i="11"/>
  <c r="K69" i="11"/>
  <c r="K61" i="11"/>
  <c r="K53" i="11"/>
  <c r="K45" i="11"/>
  <c r="I99" i="11"/>
  <c r="I91" i="11"/>
  <c r="I83" i="11"/>
  <c r="I75" i="11"/>
  <c r="I67" i="11"/>
  <c r="I59" i="11"/>
  <c r="I51" i="11"/>
  <c r="I43" i="11"/>
  <c r="K100" i="11"/>
  <c r="K92" i="11"/>
  <c r="K84" i="11"/>
  <c r="K76" i="11"/>
  <c r="K68" i="11"/>
  <c r="K60" i="11"/>
  <c r="K52" i="11"/>
  <c r="K44" i="11"/>
  <c r="I98" i="11"/>
  <c r="I90" i="11"/>
  <c r="I82" i="11"/>
  <c r="I74" i="11"/>
  <c r="I66" i="11"/>
  <c r="I58" i="11"/>
  <c r="I50" i="11"/>
  <c r="I42" i="11"/>
  <c r="K99" i="11"/>
  <c r="K91" i="11"/>
  <c r="K83" i="11"/>
  <c r="K75" i="11"/>
  <c r="K67" i="11"/>
  <c r="K59" i="11"/>
  <c r="K51" i="11"/>
  <c r="K43" i="11"/>
  <c r="I97" i="11"/>
  <c r="I89" i="11"/>
  <c r="I81" i="11"/>
  <c r="I73" i="11"/>
  <c r="I65" i="11"/>
  <c r="I57" i="11"/>
  <c r="I49" i="11"/>
  <c r="I41" i="11"/>
  <c r="K98" i="11"/>
  <c r="K90" i="11"/>
  <c r="K82" i="11"/>
  <c r="K74" i="11"/>
  <c r="K66" i="11"/>
  <c r="K58" i="11"/>
  <c r="K50" i="11"/>
  <c r="K42" i="11"/>
  <c r="I96" i="11"/>
  <c r="I88" i="11"/>
  <c r="I80" i="11"/>
  <c r="I72" i="11"/>
  <c r="I64" i="11"/>
  <c r="I56" i="11"/>
  <c r="I48" i="11"/>
  <c r="I40" i="11"/>
  <c r="K97" i="11"/>
  <c r="K89" i="11"/>
  <c r="K81" i="11"/>
  <c r="K73" i="11"/>
  <c r="K65" i="11"/>
  <c r="K57" i="11"/>
  <c r="K49" i="11"/>
  <c r="K41" i="11"/>
  <c r="N48" i="11" l="1"/>
  <c r="N56" i="11"/>
  <c r="M52" i="11"/>
  <c r="N64" i="11"/>
  <c r="N53" i="11"/>
  <c r="M54" i="11"/>
  <c r="N91" i="11"/>
  <c r="N99" i="11"/>
  <c r="M92" i="11"/>
  <c r="N55" i="11"/>
  <c r="N100" i="11"/>
  <c r="M95" i="11"/>
  <c r="N44" i="11"/>
  <c r="N45" i="11"/>
  <c r="N46" i="11"/>
  <c r="N47" i="11"/>
  <c r="M60" i="11"/>
  <c r="M62" i="11"/>
  <c r="N70" i="11"/>
  <c r="N77" i="11"/>
  <c r="N79" i="11"/>
  <c r="N61" i="11"/>
  <c r="N63" i="11"/>
  <c r="N71" i="11"/>
  <c r="N78" i="11"/>
  <c r="M85" i="11"/>
  <c r="N86" i="11"/>
  <c r="N87" i="11"/>
  <c r="M68" i="11"/>
  <c r="M69" i="11"/>
  <c r="N75" i="11"/>
  <c r="M76" i="11"/>
  <c r="M83" i="11"/>
  <c r="N84" i="11"/>
  <c r="N59" i="11"/>
  <c r="N43" i="11"/>
  <c r="N51" i="11"/>
  <c r="M67" i="11"/>
  <c r="M46" i="11"/>
  <c r="N54" i="11"/>
  <c r="M73" i="11"/>
  <c r="N81" i="11"/>
  <c r="N80" i="11"/>
  <c r="M80" i="11"/>
  <c r="N49" i="11"/>
  <c r="M61" i="11"/>
  <c r="N58" i="11"/>
  <c r="N69" i="11"/>
  <c r="N72" i="11"/>
  <c r="M72" i="11"/>
  <c r="N93" i="11"/>
  <c r="M93" i="11"/>
  <c r="M89" i="11"/>
  <c r="N90" i="11"/>
  <c r="N88" i="11"/>
  <c r="M88" i="11"/>
  <c r="N50" i="11"/>
  <c r="N57" i="11"/>
  <c r="M65" i="11"/>
  <c r="N94" i="11"/>
  <c r="M94" i="11"/>
  <c r="N97" i="11"/>
  <c r="N98" i="11"/>
  <c r="N96" i="11"/>
  <c r="M96" i="11"/>
  <c r="M66" i="11"/>
  <c r="M74" i="11"/>
  <c r="M82" i="11"/>
  <c r="M99" i="11"/>
  <c r="N38" i="11"/>
  <c r="M38" i="11"/>
  <c r="N41" i="11"/>
  <c r="N39" i="11"/>
  <c r="M39" i="11"/>
  <c r="N42" i="11"/>
  <c r="N40" i="11"/>
  <c r="M40" i="11"/>
  <c r="N37" i="11"/>
  <c r="O94" i="11" l="1"/>
  <c r="M48" i="11"/>
  <c r="O48" i="11" s="1"/>
  <c r="M86" i="11"/>
  <c r="M64" i="11"/>
  <c r="O64" i="11" s="1"/>
  <c r="M100" i="11"/>
  <c r="O100" i="11" s="1"/>
  <c r="M56" i="11"/>
  <c r="O56" i="11" s="1"/>
  <c r="M37" i="11"/>
  <c r="O37" i="11" s="1"/>
  <c r="O54" i="11"/>
  <c r="N52" i="11"/>
  <c r="M91" i="11"/>
  <c r="O91" i="11" s="1"/>
  <c r="M53" i="11"/>
  <c r="O53" i="11" s="1"/>
  <c r="O38" i="11"/>
  <c r="M79" i="11"/>
  <c r="O79" i="11" s="1"/>
  <c r="N67" i="11"/>
  <c r="O67" i="11" s="1"/>
  <c r="M63" i="11"/>
  <c r="O63" i="11" s="1"/>
  <c r="O46" i="11"/>
  <c r="N83" i="11"/>
  <c r="O83" i="11" s="1"/>
  <c r="M71" i="11"/>
  <c r="O71" i="11" s="1"/>
  <c r="M45" i="11"/>
  <c r="O45" i="11" s="1"/>
  <c r="M47" i="11"/>
  <c r="O47" i="11" s="1"/>
  <c r="M75" i="11"/>
  <c r="O75" i="11" s="1"/>
  <c r="M44" i="11"/>
  <c r="O44" i="11" s="1"/>
  <c r="N85" i="11"/>
  <c r="O85" i="11" s="1"/>
  <c r="N95" i="11"/>
  <c r="O95" i="11" s="1"/>
  <c r="N92" i="11"/>
  <c r="O92" i="11" s="1"/>
  <c r="N62" i="11"/>
  <c r="O62" i="11" s="1"/>
  <c r="M51" i="11"/>
  <c r="O51" i="11" s="1"/>
  <c r="N68" i="11"/>
  <c r="O68" i="11" s="1"/>
  <c r="M70" i="11"/>
  <c r="O70" i="11" s="1"/>
  <c r="M87" i="11"/>
  <c r="O87" i="11" s="1"/>
  <c r="M59" i="11"/>
  <c r="O59" i="11" s="1"/>
  <c r="M55" i="11"/>
  <c r="O55" i="11" s="1"/>
  <c r="O39" i="11"/>
  <c r="O69" i="11"/>
  <c r="N60" i="11"/>
  <c r="O60" i="11" s="1"/>
  <c r="M43" i="11"/>
  <c r="O43" i="11" s="1"/>
  <c r="M84" i="11"/>
  <c r="O84" i="11" s="1"/>
  <c r="O86" i="11"/>
  <c r="M78" i="11"/>
  <c r="O78" i="11" s="1"/>
  <c r="N76" i="11"/>
  <c r="O76" i="11" s="1"/>
  <c r="N74" i="11"/>
  <c r="O74" i="11" s="1"/>
  <c r="M77" i="11"/>
  <c r="O77" i="11" s="1"/>
  <c r="N89" i="11"/>
  <c r="O89" i="11" s="1"/>
  <c r="O72" i="11"/>
  <c r="O40" i="11"/>
  <c r="M57" i="11"/>
  <c r="O57" i="11" s="1"/>
  <c r="N65" i="11"/>
  <c r="O65" i="11" s="1"/>
  <c r="N73" i="11"/>
  <c r="O73" i="11" s="1"/>
  <c r="O88" i="11"/>
  <c r="O93" i="11"/>
  <c r="M41" i="11"/>
  <c r="O41" i="11" s="1"/>
  <c r="N82" i="11"/>
  <c r="O82" i="11" s="1"/>
  <c r="M90" i="11"/>
  <c r="O90" i="11" s="1"/>
  <c r="M50" i="11"/>
  <c r="O50" i="11" s="1"/>
  <c r="O99" i="11"/>
  <c r="O61" i="11"/>
  <c r="O80" i="11"/>
  <c r="M81" i="11"/>
  <c r="O81" i="11" s="1"/>
  <c r="M98" i="11"/>
  <c r="O98" i="11" s="1"/>
  <c r="M49" i="11"/>
  <c r="O49" i="11" s="1"/>
  <c r="M58" i="11"/>
  <c r="O58" i="11" s="1"/>
  <c r="N66" i="11"/>
  <c r="O66" i="11" s="1"/>
  <c r="M42" i="11"/>
  <c r="O42" i="11" s="1"/>
  <c r="M97" i="11"/>
  <c r="O97" i="11" s="1"/>
  <c r="O52" i="11"/>
  <c r="O96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<sst xmlns="http://schemas.openxmlformats.org/spreadsheetml/2006/main" count="412" uniqueCount="327">
  <si>
    <t>Country</t>
  </si>
  <si>
    <t>MinOfYear</t>
  </si>
  <si>
    <t>MaxOfYear</t>
  </si>
  <si>
    <t>Argentina</t>
  </si>
  <si>
    <t>Bolivia</t>
  </si>
  <si>
    <t>Chile</t>
  </si>
  <si>
    <t>Colombia</t>
  </si>
  <si>
    <t>Ecuador</t>
  </si>
  <si>
    <t>Japan</t>
  </si>
  <si>
    <t>Norway</t>
  </si>
  <si>
    <t>Peru</t>
  </si>
  <si>
    <t>Sweden</t>
  </si>
  <si>
    <t>Switzerland</t>
  </si>
  <si>
    <t>United States</t>
  </si>
  <si>
    <t>Venezuela</t>
  </si>
  <si>
    <t>NSOs to check</t>
  </si>
  <si>
    <t>Canada</t>
  </si>
  <si>
    <t>German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</si>
  <si>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</si>
  <si>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</si>
  <si>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</si>
  <si>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</si>
  <si>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</si>
  <si>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</si>
  <si>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</si>
  <si>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</si>
  <si>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</si>
  <si>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</si>
  <si>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</si>
  <si>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</si>
  <si>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</si>
  <si>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</si>
  <si>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</si>
  <si>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</si>
  <si>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</si>
  <si>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</si>
  <si>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</si>
  <si>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</si>
  <si>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</si>
  <si>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</si>
  <si>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</si>
  <si>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</si>
  <si>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</si>
  <si>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</si>
  <si>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</si>
  <si>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</si>
  <si>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</si>
  <si>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</si>
  <si>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</si>
  <si>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</si>
  <si>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</si>
  <si>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Cayman Islands</t>
  </si>
  <si>
    <t>Central African Republic</t>
  </si>
  <si>
    <t>Chad</t>
  </si>
  <si>
    <t>China</t>
  </si>
  <si>
    <t>Comoros</t>
  </si>
  <si>
    <t>Congo (Brazzaville)</t>
  </si>
  <si>
    <t>Congo (Kinshasa)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</si>
  <si>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</si>
  <si>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</si>
  <si>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</si>
  <si>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</si>
  <si>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</si>
  <si>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</si>
  <si>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</si>
  <si>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 Republic</t>
  </si>
  <si>
    <t>Czechia</t>
  </si>
  <si>
    <t>Czechoslovakia</t>
  </si>
  <si>
    <t>Denmark</t>
  </si>
  <si>
    <t>Djibouti</t>
  </si>
  <si>
    <t>Dominica</t>
  </si>
  <si>
    <t>Dominican Republic</t>
  </si>
  <si>
    <t>Egypt</t>
  </si>
  <si>
    <t>El Salvador</t>
  </si>
  <si>
    <t>England and Wales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</si>
  <si>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</si>
  <si>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</si>
  <si>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</si>
  <si>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</si>
  <si>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</si>
  <si>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</si>
  <si>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</si>
  <si>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</si>
  <si>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</si>
  <si>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</si>
  <si>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</si>
  <si>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</si>
  <si>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</si>
  <si>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</si>
  <si>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</si>
  <si>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</si>
  <si>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</si>
  <si>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</si>
  <si>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</si>
  <si>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</si>
  <si>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</si>
  <si>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</si>
  <si>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</si>
  <si>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</si>
  <si>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</si>
  <si>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</si>
  <si>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</si>
  <si>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</si>
  <si>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</si>
  <si>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</si>
  <si>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</si>
  <si>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</si>
  <si>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</si>
  <si>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</si>
  <si>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</si>
  <si>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Ireland (before division)</t>
  </si>
  <si>
    <t>Isle of Man</t>
  </si>
  <si>
    <t>Israel</t>
  </si>
  <si>
    <t>Israel/Palestine Jews</t>
  </si>
  <si>
    <t>Italy</t>
  </si>
  <si>
    <t>Jamaica</t>
  </si>
  <si>
    <t>Jersey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</si>
  <si>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</si>
  <si>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</si>
  <si>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</si>
  <si>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</si>
  <si>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</si>
  <si>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</si>
  <si>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</si>
  <si>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</si>
  <si>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</si>
  <si>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</si>
  <si>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</si>
  <si>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</si>
  <si>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</si>
  <si>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</si>
  <si>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</si>
  <si>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</si>
  <si>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</si>
  <si>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</si>
  <si>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</si>
  <si>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</si>
  <si>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</si>
  <si>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</si>
  <si>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</si>
  <si>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</si>
  <si>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</si>
  <si>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</si>
  <si>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</si>
  <si>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</si>
  <si>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</si>
  <si>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Fed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</si>
  <si>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</si>
  <si>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</si>
  <si>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</si>
  <si>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</si>
  <si>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</si>
  <si>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</si>
  <si>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</si>
  <si>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</si>
  <si>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</si>
  <si>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</si>
  <si>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</si>
  <si>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</si>
  <si>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</si>
  <si>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</si>
  <si>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Newfoundland</t>
  </si>
  <si>
    <t>Nicaragua</t>
  </si>
  <si>
    <t>Niger</t>
  </si>
  <si>
    <t>Nigeria</t>
  </si>
  <si>
    <t>North Macedonia</t>
  </si>
  <si>
    <t>Northern Ireland</t>
  </si>
  <si>
    <t>Northern Mariana Islands</t>
  </si>
  <si>
    <t>Oman</t>
  </si>
  <si>
    <t>Pakistan</t>
  </si>
  <si>
    <t>Palau</t>
  </si>
  <si>
    <t>Panama</t>
  </si>
  <si>
    <t>Papua New Guinea</t>
  </si>
  <si>
    <t>Paraguay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</si>
  <si>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</si>
  <si>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</si>
  <si>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</si>
  <si>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</si>
  <si>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</si>
  <si>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</si>
  <si>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</si>
  <si>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</si>
  <si>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</si>
  <si>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</si>
  <si>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</si>
  <si>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</si>
  <si>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</si>
  <si>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</si>
  <si>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</si>
  <si>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</si>
  <si>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</si>
  <si>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</si>
  <si>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</si>
  <si>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Scotland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</si>
  <si>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</si>
  <si>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</si>
  <si>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</si>
  <si>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</si>
  <si>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</si>
  <si>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</si>
  <si>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</si>
  <si>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</si>
  <si>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</si>
  <si>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</si>
  <si>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</si>
  <si>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</si>
  <si>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</si>
  <si>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</si>
  <si>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</si>
  <si>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</si>
  <si>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</si>
  <si>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</si>
  <si>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</si>
  <si>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</si>
  <si>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</si>
  <si>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</si>
  <si>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</si>
  <si>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</si>
  <si>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</si>
  <si>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</si>
  <si>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</si>
  <si>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</si>
  <si>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</si>
  <si>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</si>
  <si>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</si>
  <si>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</si>
  <si>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</si>
  <si>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</si>
  <si>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</si>
  <si>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</si>
  <si>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</si>
  <si>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Vietnam</t>
  </si>
  <si>
    <t>Virgin Islands, British</t>
  </si>
  <si>
    <t>Virgin Islands, U.S.</t>
  </si>
  <si>
    <t>Wallis and Futuna</t>
  </si>
  <si>
    <t>Yemen</t>
  </si>
  <si>
    <t>Yugoslavia</t>
  </si>
  <si>
    <t>Zambia</t>
  </si>
  <si>
    <t>Zimbabwe</t>
  </si>
  <si>
    <t>We need  2010 to 2023</t>
  </si>
  <si>
    <t>Canada before 1900?  Are there separate stats for Quebec?</t>
  </si>
  <si>
    <t>CBR</t>
  </si>
  <si>
    <t>CDR</t>
  </si>
  <si>
    <t>RNI</t>
  </si>
  <si>
    <t>Years</t>
  </si>
  <si>
    <t>Source</t>
  </si>
  <si>
    <t>Link</t>
  </si>
  <si>
    <t>Aggregation method</t>
  </si>
  <si>
    <t>Statistical concept and methodology</t>
  </si>
  <si>
    <t>Limitations and exceptions</t>
  </si>
  <si>
    <t>License URL</t>
  </si>
  <si>
    <t>1960-2023</t>
  </si>
  <si>
    <t>ten-year period (start year)</t>
  </si>
  <si>
    <t>https://publications.gc.ca/site/archivee-archived.html?url=https%3A%2F%2Fpublications.gc.ca%2Fcollections%2Fcollection_2017%2Fstatcan%2FCS99-541-1972-eng.pdf</t>
  </si>
  <si>
    <t>https://publications.gc.ca/collections/collection_2017/statcan/CS99-541-1972-eng.pdf</t>
  </si>
  <si>
    <t>Ten-year period (start year)</t>
  </si>
  <si>
    <r>
      <rPr>
        <i/>
        <sz val="11"/>
        <color theme="1"/>
        <rFont val="Aptos Narrow"/>
        <scheme val="minor"/>
      </rPr>
      <t>Trends and Factors of Fertility in Canada</t>
    </r>
    <r>
      <rPr>
        <sz val="11"/>
        <color theme="1"/>
        <rFont val="Aptos Narrow"/>
        <scheme val="minor"/>
      </rPr>
      <t>. Jacques Henripin. Pg 5. Table 1.1 - Population, average annual number of births, marriages and deaths, birth, marriage and death rates (per 1,000 inhabitants), New France, 1681-1760 and Catholics of the Province of Quebec, 1761-1880</t>
    </r>
  </si>
  <si>
    <t>None</t>
  </si>
  <si>
    <t>Annika's Notes</t>
  </si>
  <si>
    <t xml:space="preserve">Found birth data for Quebec, Canada, New France, and Quebec Catholics. Found CBR data for Quebec Catholics and New France going back to the 17th and 18th centuries. </t>
  </si>
  <si>
    <t>Year</t>
  </si>
  <si>
    <t>https://andmed.stat.ee/en/stat/rahvastik__rahvastikunaitajad-ja-koosseis__demograafilised-pehinaitajad/RV030/table/tableViewLayout2</t>
  </si>
  <si>
    <t xml:space="preserve">Found data 1919-1939 </t>
  </si>
  <si>
    <t xml:space="preserve">ROK Pop. </t>
  </si>
  <si>
    <t xml:space="preserve">DPRK Pop. </t>
  </si>
  <si>
    <t>ROK CBR</t>
  </si>
  <si>
    <t>ROK CDR</t>
  </si>
  <si>
    <t>DPRK CBR</t>
  </si>
  <si>
    <t>DPRK CDR</t>
  </si>
  <si>
    <t xml:space="preserve">ROK RNI </t>
  </si>
  <si>
    <t xml:space="preserve">DPRK RNI </t>
  </si>
  <si>
    <t>Weight of ROK</t>
  </si>
  <si>
    <t>Weight of DPRK</t>
  </si>
  <si>
    <t xml:space="preserve">Total Pop. </t>
  </si>
  <si>
    <t>CBR (weighted)</t>
  </si>
  <si>
    <t>25012374</t>
  </si>
  <si>
    <t>World Bank</t>
  </si>
  <si>
    <t>CDR (weighted)</t>
  </si>
  <si>
    <t>Republic of Korea</t>
  </si>
  <si>
    <t>Korea</t>
  </si>
  <si>
    <t>CBR, CDR</t>
  </si>
  <si>
    <t>Democratic People's Republic of Korea</t>
  </si>
  <si>
    <t>1925-1948</t>
  </si>
  <si>
    <t>https://iris.who.int/server/api/core/bitstreams/a3be70f0-74d3-45e5-a5dc-6490d40a2808/content</t>
  </si>
  <si>
    <t xml:space="preserve">Statistical Observations on Death-Rates and Causes of Death in Korea. Chai Bin Park. Bulletin of the World Health Organization. 1955, 13, 69-108. </t>
  </si>
  <si>
    <t>1949-1955</t>
  </si>
  <si>
    <t>Birth Rate Transition in the Republic of Korea: Trends and Prospects. Jungha Yun et al. 2022</t>
  </si>
  <si>
    <t>https://pmc.ncbi.nlm.nih.gov/articles/PMC9623034/#B2</t>
  </si>
  <si>
    <t>CBR, total population</t>
  </si>
  <si>
    <t>Birth Rate Transition in the Republic of Korea: Trends and Prospects. Jungha Yun et al. 2023</t>
  </si>
  <si>
    <t>https://pmc.ncbi.nlm.nih.gov/articles/PMC9623034/#B3</t>
  </si>
  <si>
    <t>1925-1944</t>
  </si>
  <si>
    <t>Selective data available starting 1920s</t>
  </si>
  <si>
    <t>Births (count)</t>
  </si>
  <si>
    <t>Deaths (count)</t>
  </si>
  <si>
    <t>1838-1950</t>
  </si>
  <si>
    <t>Live Births</t>
  </si>
  <si>
    <t>https://px.hagstofa.is/pxen/pxweb/en/Ibuar/Ibuar__Faeddirdanir__faeddir__faedingar/MAN05203.px/table/tableViewLayout2/</t>
  </si>
  <si>
    <t>Statistics Iceland. Live births by sex and martial status of mother 1838-2024</t>
  </si>
  <si>
    <t>Total Population (calculated)</t>
  </si>
  <si>
    <t>Starting 1841</t>
  </si>
  <si>
    <t>Source: https://www.statice.is/statistics/population/births-and-deaths/births/</t>
  </si>
  <si>
    <t>1841-1950</t>
  </si>
  <si>
    <t>CDR, Deaths</t>
  </si>
  <si>
    <t xml:space="preserve">Statistics Iceland. Deaths and crude death rate by sex and age 1841-2023. </t>
  </si>
  <si>
    <t>https://px.hagstofa.is/pxen/pxweb/en/Ibuar/Ibuar__Faeddirdanir__danir__danir/MAN05210.px/table/tableViewLayout2/</t>
  </si>
  <si>
    <t>their data starts 1994</t>
  </si>
  <si>
    <t>They have population change by age and sex starting 1880, but not births or deaths.</t>
  </si>
  <si>
    <t>Their data starts 1970</t>
  </si>
  <si>
    <t>Not on Statistical Office website, but I read colonial records go back to the 1600s, so if you'd like, I can look into other sources</t>
  </si>
  <si>
    <t>Starts 1990</t>
  </si>
  <si>
    <t>https://ws.dgbas.gov.tw/001/Upload/464/relfile/10924/232173/y004.pdf</t>
  </si>
  <si>
    <t>National Statistics Republic of China (Taiwan). "Number and rates of births, deaths, immigrants and emigrants, marriages and divorces"</t>
  </si>
  <si>
    <t>2011-2024</t>
  </si>
  <si>
    <t>Starts 2005</t>
  </si>
  <si>
    <t>Starts post-1950</t>
  </si>
  <si>
    <t>Found 2011, then 2015-2024</t>
  </si>
  <si>
    <t>New France</t>
  </si>
  <si>
    <t>1681-1751</t>
  </si>
  <si>
    <t>Quebec Catholics</t>
  </si>
  <si>
    <t>1761-1871</t>
  </si>
  <si>
    <t>1846-1916</t>
  </si>
  <si>
    <r>
      <t>Trends and Factors of Fertility in Canada</t>
    </r>
    <r>
      <rPr>
        <sz val="11"/>
        <color rgb="FF000000"/>
        <rFont val="Aptos Narrow"/>
        <scheme val="minor"/>
      </rPr>
      <t>. Jacques Henripin. Pg 366. Table B.6 - "birth rates by ten-year periods, Canada and selected provinces, 1831 to 1921"</t>
    </r>
  </si>
  <si>
    <t>Quebec</t>
  </si>
  <si>
    <t>1919-1939</t>
  </si>
  <si>
    <t>Statistics Estonia. RV030: BIRTHS, DEATHS AND NATURAL INCREASE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</si>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</sst>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_-* \-#,##0.00_-;_-* &quot;-&quot;_-;_-@_-"/>
  </numFmts>
  <fonts count="19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Aptos Narrow (Body)"/>
    </font>
    <font>
      <sz val="11"/>
      <color theme="1"/>
      <name val="Aptos Narrow"/>
      <family val="2"/>
      <scheme val="minor"/>
    </font>
    <font>
      <sz val="8.5"/>
      <name val="Times New Roman"/>
      <family val="1"/>
    </font>
    <font>
      <sz val="8"/>
      <name val="Arial"/>
      <family val="2"/>
    </font>
    <font>
      <sz val="11"/>
      <color rgb="FF000000"/>
      <name val="Aptos Narrow"/>
      <scheme val="minor"/>
    </font>
    <font>
      <i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medium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indexed="64"/>
      </right>
      <top/>
      <bottom style="medium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2" tint="-9.9978637043366805E-2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5" fillId="0" borderId="0"/>
    <xf numFmtId="0" fontId="10" fillId="0" borderId="0" applyNumberFormat="0" applyFill="0" applyBorder="0" applyAlignment="0" applyProtection="0"/>
    <xf numFmtId="164" fontId="15" fillId="0" borderId="0" applyFill="0" applyBorder="0" applyProtection="0">
      <alignment horizontal="right"/>
    </xf>
  </cellStyleXfs>
  <cellXfs count="38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0" fontId="2" fillId="2" borderId="1" xfId="2" applyFont="1" applyFill="1" applyBorder="1" applyAlignment="1">
      <alignment horizontal="center"/>
    </xf>
    <xf numFmtId="0" fontId="2" fillId="0" borderId="2" xfId="2" applyFont="1" applyBorder="1" applyAlignment="1">
      <alignment wrapText="1"/>
    </xf>
    <xf numFmtId="0" fontId="2" fillId="0" borderId="2" xfId="2" applyFont="1" applyBorder="1" applyAlignment="1">
      <alignment horizontal="right" wrapText="1"/>
    </xf>
    <xf numFmtId="1" fontId="2" fillId="0" borderId="2" xfId="1" applyNumberFormat="1" applyFont="1" applyBorder="1" applyAlignment="1">
      <alignment horizontal="right" wrapText="1"/>
    </xf>
    <xf numFmtId="0" fontId="2" fillId="0" borderId="2" xfId="1" applyFont="1" applyBorder="1" applyAlignment="1">
      <alignment horizontal="right" wrapText="1"/>
    </xf>
    <xf numFmtId="0" fontId="2" fillId="0" borderId="3" xfId="2" applyFont="1" applyBorder="1" applyAlignment="1">
      <alignment wrapText="1"/>
    </xf>
    <xf numFmtId="0" fontId="2" fillId="0" borderId="3" xfId="2" applyFont="1" applyBorder="1" applyAlignment="1">
      <alignment horizontal="right" wrapText="1"/>
    </xf>
    <xf numFmtId="0" fontId="3" fillId="0" borderId="0" xfId="1" applyFont="1" applyAlignment="1">
      <alignment wrapTex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4"/>
    <xf numFmtId="0" fontId="0" fillId="0" borderId="4" xfId="0" applyBorder="1"/>
    <xf numFmtId="0" fontId="6" fillId="3" borderId="0" xfId="0" applyFont="1" applyFill="1"/>
    <xf numFmtId="0" fontId="0" fillId="4" borderId="0" xfId="0" applyFill="1"/>
    <xf numFmtId="0" fontId="8" fillId="0" borderId="4" xfId="0" applyFont="1" applyBorder="1"/>
    <xf numFmtId="3" fontId="0" fillId="0" borderId="0" xfId="0" applyNumberFormat="1"/>
    <xf numFmtId="0" fontId="8" fillId="4" borderId="5" xfId="0" applyFont="1" applyFill="1" applyBorder="1"/>
    <xf numFmtId="0" fontId="0" fillId="4" borderId="5" xfId="0" applyFill="1" applyBorder="1"/>
    <xf numFmtId="0" fontId="8" fillId="4" borderId="7" xfId="0" applyFont="1" applyFill="1" applyBorder="1"/>
    <xf numFmtId="0" fontId="7" fillId="0" borderId="8" xfId="0" applyFont="1" applyBorder="1"/>
    <xf numFmtId="0" fontId="7" fillId="0" borderId="6" xfId="0" applyFont="1" applyBorder="1"/>
    <xf numFmtId="0" fontId="7" fillId="4" borderId="9" xfId="0" applyFont="1" applyFill="1" applyBorder="1"/>
    <xf numFmtId="1" fontId="8" fillId="0" borderId="0" xfId="0" applyNumberFormat="1" applyFont="1"/>
    <xf numFmtId="1" fontId="7" fillId="0" borderId="6" xfId="0" applyNumberFormat="1" applyFont="1" applyBorder="1"/>
    <xf numFmtId="1" fontId="0" fillId="0" borderId="0" xfId="0" applyNumberFormat="1"/>
    <xf numFmtId="0" fontId="12" fillId="0" borderId="0" xfId="0" applyFont="1"/>
    <xf numFmtId="0" fontId="13" fillId="0" borderId="0" xfId="0" applyFont="1"/>
    <xf numFmtId="4" fontId="0" fillId="0" borderId="0" xfId="0" applyNumberFormat="1"/>
    <xf numFmtId="0" fontId="14" fillId="0" borderId="0" xfId="0" applyFont="1"/>
    <xf numFmtId="164" fontId="16" fillId="0" borderId="0" xfId="5" applyFont="1" applyFill="1">
      <alignment horizontal="right"/>
    </xf>
    <xf numFmtId="2" fontId="0" fillId="0" borderId="0" xfId="0" applyNumberFormat="1"/>
    <xf numFmtId="0" fontId="2" fillId="0" borderId="0" xfId="1" applyFont="1" applyAlignment="1">
      <alignment wrapText="1"/>
    </xf>
    <xf numFmtId="0" fontId="18" fillId="0" borderId="0" xfId="0" applyFont="1"/>
  </cellXfs>
  <cellStyles count="6">
    <cellStyle name="Hyperlink" xfId="4" builtinId="8"/>
    <cellStyle name="Normal" xfId="0" builtinId="0"/>
    <cellStyle name="Normal 16 2" xfId="3" xr:uid="{C64D6275-3802-9648-99A2-74BD0DB0F32C}"/>
    <cellStyle name="Normal_Sheet1" xfId="1" xr:uid="{C8FF0C99-5E71-4E1D-B01D-08C102F9EE60}"/>
    <cellStyle name="Normal_Sheet2" xfId="2" xr:uid="{D97361C4-2540-402F-AD91-FE325698C494}"/>
    <cellStyle name="r2" xfId="5" xr:uid="{AA3B7422-4B4B-9B44-AB8D-17161835AF96}"/>
  </cellStyles>
  <dxfs count="0"/>
  <tableStyles count="0" defaultTableStyle="TableStyleMedium2" defaultPivotStyle="PivotStyleLight16"/>
  <colors>
    <mruColors>
      <color rgb="FFF8F9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47036</xdr:colOff>
      <xdr:row>0</xdr:row>
      <xdr:rowOff>0</xdr:rowOff>
    </xdr:from>
    <xdr:to>
      <xdr:col>11</xdr:col>
      <xdr:colOff>652498</xdr:colOff>
      <xdr:row>13</xdr:row>
      <xdr:rowOff>99483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CED0BB-78AD-92B0-8106-916E7735B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6943" y="0"/>
          <a:ext cx="4721203" cy="25454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ations.gc.ca/collections/collection_2017/statcan/CS99-541-1972-eng.pdf" TargetMode="External"/><Relationship Id="rId2" Type="http://schemas.openxmlformats.org/officeDocument/2006/relationships/hyperlink" Target="https://pmc.ncbi.nlm.nih.gov/articles/PMC9623034/" TargetMode="External"/><Relationship Id="rId1" Type="http://schemas.openxmlformats.org/officeDocument/2006/relationships/hyperlink" Target="https://pmc.ncbi.nlm.nih.gov/articles/PMC9623034/" TargetMode="External"/><Relationship Id="rId5" Type="http://schemas.openxmlformats.org/officeDocument/2006/relationships/hyperlink" Target="https://andmed.stat.ee/en/stat/rahvastik__rahvastikunaitajad-ja-koosseis__demograafilised-pehinaitajad/RV030/table/tableViewLayout2" TargetMode="External"/><Relationship Id="rId4" Type="http://schemas.openxmlformats.org/officeDocument/2006/relationships/hyperlink" Target="https://publications.gc.ca/site/archivee-archived.html?url=https%3A%2F%2Fpublications.gc.ca%2Fcollections%2Fcollection_2017%2Fstatcan%2FCS99-541-1972-en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ECFC-8C48-4D16-8332-93123C3D3131}">
  <dimension ref="A1:I35"/>
  <sheetViews>
    <sheetView topLeftCell="A8" workbookViewId="0">
      <selection activeCell="E27" sqref="E27"/>
    </sheetView>
  </sheetViews>
  <sheetFormatPr baseColWidth="10" defaultColWidth="8.83203125" defaultRowHeight="15" x14ac:dyDescent="0.2"/>
  <cols>
    <col min="1" max="1" width="18.6640625" customWidth="1"/>
    <col min="8" max="8" width="11.6640625" customWidth="1"/>
  </cols>
  <sheetData>
    <row r="1" spans="1:9" x14ac:dyDescent="0.2">
      <c r="A1" s="1" t="s">
        <v>0</v>
      </c>
      <c r="B1" s="1" t="s">
        <v>1</v>
      </c>
      <c r="C1" s="1" t="s">
        <v>2</v>
      </c>
    </row>
    <row r="2" spans="1:9" ht="16" x14ac:dyDescent="0.2">
      <c r="A2" s="2" t="s">
        <v>3</v>
      </c>
      <c r="B2" s="7">
        <v>1862</v>
      </c>
      <c r="C2" s="7">
        <v>1947</v>
      </c>
    </row>
    <row r="3" spans="1:9" ht="16" x14ac:dyDescent="0.2">
      <c r="A3" s="2" t="s">
        <v>4</v>
      </c>
      <c r="B3" s="7">
        <v>1942</v>
      </c>
      <c r="C3" s="7">
        <v>1952</v>
      </c>
    </row>
    <row r="4" spans="1:9" ht="16" x14ac:dyDescent="0.2">
      <c r="A4" s="2" t="s">
        <v>5</v>
      </c>
      <c r="B4" s="7">
        <v>1852</v>
      </c>
      <c r="C4" s="7">
        <v>1957</v>
      </c>
    </row>
    <row r="5" spans="1:9" ht="16" x14ac:dyDescent="0.2">
      <c r="A5" s="2" t="s">
        <v>6</v>
      </c>
      <c r="B5" s="7">
        <v>1902</v>
      </c>
      <c r="C5" s="7">
        <v>1957</v>
      </c>
    </row>
    <row r="6" spans="1:9" ht="16" x14ac:dyDescent="0.2">
      <c r="A6" s="2" t="s">
        <v>7</v>
      </c>
      <c r="B6" s="7">
        <v>1917</v>
      </c>
      <c r="C6" s="7">
        <v>1957</v>
      </c>
    </row>
    <row r="7" spans="1:9" ht="16" x14ac:dyDescent="0.2">
      <c r="A7" s="2" t="s">
        <v>17</v>
      </c>
      <c r="B7" s="6">
        <v>1729</v>
      </c>
      <c r="C7" s="6">
        <v>1870</v>
      </c>
    </row>
    <row r="8" spans="1:9" ht="16" x14ac:dyDescent="0.2">
      <c r="A8" s="2" t="s">
        <v>8</v>
      </c>
      <c r="B8" s="7">
        <v>1899</v>
      </c>
      <c r="C8" s="7">
        <v>1998</v>
      </c>
    </row>
    <row r="9" spans="1:9" ht="16" x14ac:dyDescent="0.2">
      <c r="A9" s="2" t="s">
        <v>9</v>
      </c>
      <c r="B9" s="7">
        <v>1735</v>
      </c>
      <c r="C9" s="7">
        <v>2023</v>
      </c>
    </row>
    <row r="10" spans="1:9" ht="16" x14ac:dyDescent="0.2">
      <c r="A10" s="2" t="s">
        <v>10</v>
      </c>
      <c r="B10" s="7">
        <v>1942</v>
      </c>
      <c r="C10" s="7">
        <v>1957</v>
      </c>
    </row>
    <row r="11" spans="1:9" ht="16" x14ac:dyDescent="0.2">
      <c r="A11" s="2" t="s">
        <v>11</v>
      </c>
      <c r="B11" s="7">
        <v>1749</v>
      </c>
      <c r="C11" s="7">
        <v>2023</v>
      </c>
    </row>
    <row r="12" spans="1:9" ht="16" x14ac:dyDescent="0.2">
      <c r="A12" s="2" t="s">
        <v>12</v>
      </c>
      <c r="B12" s="7">
        <v>1861</v>
      </c>
      <c r="C12" s="7">
        <v>2023</v>
      </c>
    </row>
    <row r="13" spans="1:9" ht="16" x14ac:dyDescent="0.2">
      <c r="A13" s="2" t="s">
        <v>13</v>
      </c>
      <c r="B13" s="7">
        <v>1800</v>
      </c>
      <c r="C13" s="7">
        <v>1999</v>
      </c>
    </row>
    <row r="14" spans="1:9" ht="16" x14ac:dyDescent="0.2">
      <c r="A14" s="2" t="s">
        <v>14</v>
      </c>
      <c r="B14" s="7">
        <v>1887</v>
      </c>
      <c r="C14" s="7">
        <v>1957</v>
      </c>
    </row>
    <row r="16" spans="1:9" s="11" customFormat="1" ht="16" x14ac:dyDescent="0.2">
      <c r="A16" s="10" t="s">
        <v>15</v>
      </c>
      <c r="I16" s="13" t="s">
        <v>258</v>
      </c>
    </row>
    <row r="17" spans="1:9" ht="16" x14ac:dyDescent="0.2">
      <c r="A17" s="36" t="s">
        <v>20</v>
      </c>
      <c r="B17" s="5">
        <v>1950</v>
      </c>
      <c r="C17" s="5">
        <v>2023</v>
      </c>
      <c r="I17" t="s">
        <v>257</v>
      </c>
    </row>
    <row r="18" spans="1:9" ht="16" x14ac:dyDescent="0.2">
      <c r="A18" s="4" t="s">
        <v>43</v>
      </c>
      <c r="B18" s="5">
        <v>1950</v>
      </c>
      <c r="C18" s="5">
        <v>2023</v>
      </c>
      <c r="I18" t="s">
        <v>257</v>
      </c>
    </row>
    <row r="19" spans="1:9" ht="16" x14ac:dyDescent="0.2">
      <c r="A19" s="4" t="s">
        <v>16</v>
      </c>
      <c r="B19" s="5">
        <v>1900</v>
      </c>
      <c r="C19" s="5">
        <v>2023</v>
      </c>
      <c r="D19" t="s">
        <v>240</v>
      </c>
      <c r="I19" t="s">
        <v>259</v>
      </c>
    </row>
    <row r="20" spans="1:9" ht="16" x14ac:dyDescent="0.2">
      <c r="A20" s="4" t="s">
        <v>71</v>
      </c>
      <c r="B20" s="5">
        <v>1950</v>
      </c>
      <c r="C20" s="5">
        <v>2023</v>
      </c>
      <c r="I20" t="s">
        <v>257</v>
      </c>
    </row>
    <row r="21" spans="1:9" ht="16" x14ac:dyDescent="0.2">
      <c r="A21" s="4" t="s">
        <v>77</v>
      </c>
      <c r="B21" s="5">
        <v>1950</v>
      </c>
      <c r="C21" s="5">
        <v>2023</v>
      </c>
      <c r="I21" t="s">
        <v>262</v>
      </c>
    </row>
    <row r="22" spans="1:9" ht="16" x14ac:dyDescent="0.2">
      <c r="A22" s="4" t="s">
        <v>79</v>
      </c>
      <c r="B22" s="5">
        <v>1950</v>
      </c>
      <c r="C22" s="5">
        <v>2023</v>
      </c>
      <c r="I22" t="s">
        <v>257</v>
      </c>
    </row>
    <row r="23" spans="1:9" s="30" customFormat="1" ht="16" x14ac:dyDescent="0.2">
      <c r="A23" s="4" t="s">
        <v>104</v>
      </c>
      <c r="B23" s="5">
        <v>1950</v>
      </c>
      <c r="C23" s="5">
        <v>2023</v>
      </c>
      <c r="I23" t="s">
        <v>300</v>
      </c>
    </row>
    <row r="24" spans="1:9" s="30" customFormat="1" ht="16" x14ac:dyDescent="0.2">
      <c r="A24" s="4" t="s">
        <v>121</v>
      </c>
      <c r="B24" s="5">
        <v>1950</v>
      </c>
      <c r="C24" s="5">
        <v>2023</v>
      </c>
      <c r="I24" s="31" t="s">
        <v>292</v>
      </c>
    </row>
    <row r="25" spans="1:9" s="30" customFormat="1" ht="16" x14ac:dyDescent="0.2">
      <c r="A25" s="4" t="s">
        <v>122</v>
      </c>
      <c r="B25" s="5">
        <v>1950</v>
      </c>
      <c r="C25" s="5">
        <v>2023</v>
      </c>
      <c r="I25" s="31" t="s">
        <v>292</v>
      </c>
    </row>
    <row r="26" spans="1:9" s="30" customFormat="1" ht="16" x14ac:dyDescent="0.2">
      <c r="A26" s="4" t="s">
        <v>127</v>
      </c>
      <c r="B26" s="5">
        <v>1950</v>
      </c>
      <c r="C26" s="5">
        <v>2023</v>
      </c>
    </row>
    <row r="27" spans="1:9" ht="16" x14ac:dyDescent="0.2">
      <c r="A27" s="4" t="s">
        <v>133</v>
      </c>
      <c r="B27" s="5">
        <v>1950</v>
      </c>
      <c r="C27" s="5">
        <v>2023</v>
      </c>
      <c r="I27" s="31" t="s">
        <v>306</v>
      </c>
    </row>
    <row r="28" spans="1:9" s="30" customFormat="1" ht="16" x14ac:dyDescent="0.2">
      <c r="A28" s="4" t="s">
        <v>134</v>
      </c>
      <c r="B28" s="5">
        <v>1950</v>
      </c>
      <c r="C28" s="5">
        <v>2023</v>
      </c>
      <c r="D28" s="33"/>
      <c r="E28" s="33"/>
      <c r="F28" s="33"/>
      <c r="G28" s="33"/>
      <c r="H28" s="33"/>
      <c r="I28" s="33" t="s">
        <v>307</v>
      </c>
    </row>
    <row r="29" spans="1:9" s="30" customFormat="1" ht="16" x14ac:dyDescent="0.2">
      <c r="A29" s="4" t="s">
        <v>152</v>
      </c>
      <c r="B29" s="5">
        <v>1950</v>
      </c>
      <c r="C29" s="5">
        <v>2023</v>
      </c>
      <c r="I29" t="s">
        <v>308</v>
      </c>
    </row>
    <row r="30" spans="1:9" ht="16" x14ac:dyDescent="0.2">
      <c r="A30" s="4" t="s">
        <v>201</v>
      </c>
      <c r="B30" s="5">
        <v>1950</v>
      </c>
      <c r="C30" s="5">
        <v>2023</v>
      </c>
    </row>
    <row r="31" spans="1:9" ht="16" x14ac:dyDescent="0.2">
      <c r="A31" s="4" t="s">
        <v>204</v>
      </c>
      <c r="B31" s="5">
        <v>1950</v>
      </c>
      <c r="C31" s="5">
        <v>2023</v>
      </c>
      <c r="I31" t="s">
        <v>309</v>
      </c>
    </row>
    <row r="32" spans="1:9" ht="16" x14ac:dyDescent="0.2">
      <c r="A32" s="8" t="s">
        <v>211</v>
      </c>
      <c r="B32" s="9">
        <v>1906</v>
      </c>
      <c r="C32" s="9">
        <v>2010</v>
      </c>
      <c r="D32" t="s">
        <v>239</v>
      </c>
      <c r="I32" t="s">
        <v>316</v>
      </c>
    </row>
    <row r="33" spans="1:9" ht="16" x14ac:dyDescent="0.2">
      <c r="A33" s="4" t="s">
        <v>214</v>
      </c>
      <c r="B33" s="5">
        <v>1950</v>
      </c>
      <c r="C33" s="5">
        <v>2023</v>
      </c>
      <c r="I33" t="s">
        <v>315</v>
      </c>
    </row>
    <row r="34" spans="1:9" ht="16" x14ac:dyDescent="0.2">
      <c r="A34" s="4" t="s">
        <v>219</v>
      </c>
      <c r="B34" s="5">
        <v>1950</v>
      </c>
      <c r="C34" s="5">
        <v>2023</v>
      </c>
      <c r="I34" t="s">
        <v>310</v>
      </c>
    </row>
    <row r="35" spans="1:9" ht="16" x14ac:dyDescent="0.2">
      <c r="A35" s="4" t="s">
        <v>231</v>
      </c>
      <c r="B35" s="5">
        <v>1950</v>
      </c>
      <c r="C35" s="5">
        <v>2023</v>
      </c>
      <c r="I35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0552-00A5-4641-9664-D630681771F6}">
  <dimension ref="A1:C235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29.6640625" customWidth="1"/>
  </cols>
  <sheetData>
    <row r="1" spans="1:3" x14ac:dyDescent="0.2">
      <c r="A1" s="3" t="s">
        <v>0</v>
      </c>
      <c r="B1" s="3" t="s">
        <v>1</v>
      </c>
      <c r="C1" s="3" t="s">
        <v>2</v>
      </c>
    </row>
    <row r="2" spans="1:3" ht="16" x14ac:dyDescent="0.2">
      <c r="A2" s="4" t="s">
        <v>18</v>
      </c>
      <c r="B2" s="5">
        <v>1950</v>
      </c>
      <c r="C2" s="5">
        <v>2023</v>
      </c>
    </row>
    <row r="3" spans="1:3" ht="16" x14ac:dyDescent="0.2">
      <c r="A3" s="4" t="s">
        <v>19</v>
      </c>
      <c r="B3" s="5">
        <v>1932</v>
      </c>
      <c r="C3" s="5">
        <v>2023</v>
      </c>
    </row>
    <row r="4" spans="1:3" ht="16" x14ac:dyDescent="0.2">
      <c r="A4" s="4" t="s">
        <v>20</v>
      </c>
      <c r="B4" s="5">
        <v>1950</v>
      </c>
      <c r="C4" s="5">
        <v>2023</v>
      </c>
    </row>
    <row r="5" spans="1:3" ht="16" x14ac:dyDescent="0.2">
      <c r="A5" s="4" t="s">
        <v>21</v>
      </c>
      <c r="B5" s="5">
        <v>1950</v>
      </c>
      <c r="C5" s="5">
        <v>2023</v>
      </c>
    </row>
    <row r="6" spans="1:3" ht="16" x14ac:dyDescent="0.2">
      <c r="A6" s="4" t="s">
        <v>22</v>
      </c>
      <c r="B6" s="5">
        <v>1950</v>
      </c>
      <c r="C6" s="5">
        <v>2023</v>
      </c>
    </row>
    <row r="7" spans="1:3" ht="16" x14ac:dyDescent="0.2">
      <c r="A7" s="4" t="s">
        <v>23</v>
      </c>
      <c r="B7" s="5">
        <v>1950</v>
      </c>
      <c r="C7" s="5">
        <v>2023</v>
      </c>
    </row>
    <row r="8" spans="1:3" ht="16" x14ac:dyDescent="0.2">
      <c r="A8" s="4" t="s">
        <v>24</v>
      </c>
      <c r="B8" s="5">
        <v>1950</v>
      </c>
      <c r="C8" s="5">
        <v>2023</v>
      </c>
    </row>
    <row r="9" spans="1:3" ht="16" x14ac:dyDescent="0.2">
      <c r="A9" s="4" t="s">
        <v>25</v>
      </c>
      <c r="B9" s="5">
        <v>1950</v>
      </c>
      <c r="C9" s="5">
        <v>2023</v>
      </c>
    </row>
    <row r="10" spans="1:3" ht="16" x14ac:dyDescent="0.2">
      <c r="A10" s="4" t="s">
        <v>3</v>
      </c>
      <c r="B10" s="5">
        <v>1862</v>
      </c>
      <c r="C10" s="5">
        <v>2023</v>
      </c>
    </row>
    <row r="11" spans="1:3" ht="16" x14ac:dyDescent="0.2">
      <c r="A11" s="4" t="s">
        <v>26</v>
      </c>
      <c r="B11" s="5">
        <v>1950</v>
      </c>
      <c r="C11" s="5">
        <v>2023</v>
      </c>
    </row>
    <row r="12" spans="1:3" ht="16" x14ac:dyDescent="0.2">
      <c r="A12" s="4" t="s">
        <v>27</v>
      </c>
      <c r="B12" s="5">
        <v>1950</v>
      </c>
      <c r="C12" s="5">
        <v>2023</v>
      </c>
    </row>
    <row r="13" spans="1:3" ht="16" x14ac:dyDescent="0.2">
      <c r="A13" s="4" t="s">
        <v>28</v>
      </c>
      <c r="B13" s="5">
        <v>1851</v>
      </c>
      <c r="C13" s="5">
        <v>2023</v>
      </c>
    </row>
    <row r="14" spans="1:3" ht="16" x14ac:dyDescent="0.2">
      <c r="A14" s="4" t="s">
        <v>29</v>
      </c>
      <c r="B14" s="5">
        <v>1820</v>
      </c>
      <c r="C14" s="5">
        <v>2023</v>
      </c>
    </row>
    <row r="15" spans="1:3" ht="16" x14ac:dyDescent="0.2">
      <c r="A15" s="4" t="s">
        <v>30</v>
      </c>
      <c r="B15" s="5">
        <v>1950</v>
      </c>
      <c r="C15" s="5">
        <v>2023</v>
      </c>
    </row>
    <row r="16" spans="1:3" ht="16" x14ac:dyDescent="0.2">
      <c r="A16" s="4" t="s">
        <v>31</v>
      </c>
      <c r="B16" s="5">
        <v>1950</v>
      </c>
      <c r="C16" s="5">
        <v>2023</v>
      </c>
    </row>
    <row r="17" spans="1:3" ht="16" x14ac:dyDescent="0.2">
      <c r="A17" s="4" t="s">
        <v>32</v>
      </c>
      <c r="B17" s="5">
        <v>1950</v>
      </c>
      <c r="C17" s="5">
        <v>2023</v>
      </c>
    </row>
    <row r="18" spans="1:3" ht="16" x14ac:dyDescent="0.2">
      <c r="A18" s="4" t="s">
        <v>33</v>
      </c>
      <c r="B18" s="5">
        <v>1950</v>
      </c>
      <c r="C18" s="5">
        <v>2023</v>
      </c>
    </row>
    <row r="19" spans="1:3" ht="16" x14ac:dyDescent="0.2">
      <c r="A19" s="4" t="s">
        <v>34</v>
      </c>
      <c r="B19" s="5">
        <v>1910</v>
      </c>
      <c r="C19" s="5">
        <v>2023</v>
      </c>
    </row>
    <row r="20" spans="1:3" ht="16" x14ac:dyDescent="0.2">
      <c r="A20" s="4" t="s">
        <v>35</v>
      </c>
      <c r="B20" s="5">
        <v>1950</v>
      </c>
      <c r="C20" s="5">
        <v>2023</v>
      </c>
    </row>
    <row r="21" spans="1:3" ht="16" x14ac:dyDescent="0.2">
      <c r="A21" s="4" t="s">
        <v>36</v>
      </c>
      <c r="B21" s="5">
        <v>1830</v>
      </c>
      <c r="C21" s="5">
        <v>2023</v>
      </c>
    </row>
    <row r="22" spans="1:3" ht="16" x14ac:dyDescent="0.2">
      <c r="A22" s="4" t="s">
        <v>37</v>
      </c>
      <c r="B22" s="5">
        <v>1950</v>
      </c>
      <c r="C22" s="5">
        <v>2023</v>
      </c>
    </row>
    <row r="23" spans="1:3" ht="16" x14ac:dyDescent="0.2">
      <c r="A23" s="4" t="s">
        <v>38</v>
      </c>
      <c r="B23" s="5">
        <v>1950</v>
      </c>
      <c r="C23" s="5">
        <v>2023</v>
      </c>
    </row>
    <row r="24" spans="1:3" ht="16" x14ac:dyDescent="0.2">
      <c r="A24" s="4" t="s">
        <v>39</v>
      </c>
      <c r="B24" s="5">
        <v>1950</v>
      </c>
      <c r="C24" s="5">
        <v>2023</v>
      </c>
    </row>
    <row r="25" spans="1:3" ht="16" x14ac:dyDescent="0.2">
      <c r="A25" s="4" t="s">
        <v>40</v>
      </c>
      <c r="B25" s="5">
        <v>1950</v>
      </c>
      <c r="C25" s="5">
        <v>2023</v>
      </c>
    </row>
    <row r="26" spans="1:3" ht="16" x14ac:dyDescent="0.2">
      <c r="A26" s="4" t="s">
        <v>4</v>
      </c>
      <c r="B26" s="5">
        <v>1942</v>
      </c>
      <c r="C26" s="5">
        <v>2023</v>
      </c>
    </row>
    <row r="27" spans="1:3" ht="16" x14ac:dyDescent="0.2">
      <c r="A27" s="4" t="s">
        <v>41</v>
      </c>
      <c r="B27" s="5">
        <v>1950</v>
      </c>
      <c r="C27" s="5">
        <v>2023</v>
      </c>
    </row>
    <row r="28" spans="1:3" ht="16" x14ac:dyDescent="0.2">
      <c r="A28" s="4" t="s">
        <v>42</v>
      </c>
      <c r="B28" s="5">
        <v>1950</v>
      </c>
      <c r="C28" s="5">
        <v>2023</v>
      </c>
    </row>
    <row r="29" spans="1:3" ht="16" x14ac:dyDescent="0.2">
      <c r="A29" s="4" t="s">
        <v>43</v>
      </c>
      <c r="B29" s="5">
        <v>1950</v>
      </c>
      <c r="C29" s="5">
        <v>2023</v>
      </c>
    </row>
    <row r="30" spans="1:3" ht="16" x14ac:dyDescent="0.2">
      <c r="A30" s="4" t="s">
        <v>44</v>
      </c>
      <c r="B30" s="5">
        <v>1950</v>
      </c>
      <c r="C30" s="5">
        <v>2023</v>
      </c>
    </row>
    <row r="31" spans="1:3" ht="16" x14ac:dyDescent="0.2">
      <c r="A31" s="4" t="s">
        <v>45</v>
      </c>
      <c r="B31" s="5">
        <v>1881</v>
      </c>
      <c r="C31" s="5">
        <v>2023</v>
      </c>
    </row>
    <row r="32" spans="1:3" ht="16" x14ac:dyDescent="0.2">
      <c r="A32" s="4" t="s">
        <v>46</v>
      </c>
      <c r="B32" s="5">
        <v>1950</v>
      </c>
      <c r="C32" s="5">
        <v>2023</v>
      </c>
    </row>
    <row r="33" spans="1:3" ht="16" x14ac:dyDescent="0.2">
      <c r="A33" s="4" t="s">
        <v>47</v>
      </c>
      <c r="B33" s="5">
        <v>1950</v>
      </c>
      <c r="C33" s="5">
        <v>2023</v>
      </c>
    </row>
    <row r="34" spans="1:3" ht="16" x14ac:dyDescent="0.2">
      <c r="A34" s="4" t="s">
        <v>48</v>
      </c>
      <c r="B34" s="5">
        <v>1950</v>
      </c>
      <c r="C34" s="5">
        <v>2023</v>
      </c>
    </row>
    <row r="35" spans="1:3" ht="16" x14ac:dyDescent="0.2">
      <c r="A35" s="4" t="s">
        <v>49</v>
      </c>
      <c r="B35" s="5">
        <v>1950</v>
      </c>
      <c r="C35" s="5">
        <v>2023</v>
      </c>
    </row>
    <row r="36" spans="1:3" ht="16" x14ac:dyDescent="0.2">
      <c r="A36" s="4" t="s">
        <v>50</v>
      </c>
      <c r="B36" s="5">
        <v>1950</v>
      </c>
      <c r="C36" s="5">
        <v>2023</v>
      </c>
    </row>
    <row r="37" spans="1:3" ht="16" x14ac:dyDescent="0.2">
      <c r="A37" s="4" t="s">
        <v>16</v>
      </c>
      <c r="B37" s="5">
        <v>1900</v>
      </c>
      <c r="C37" s="5">
        <v>2023</v>
      </c>
    </row>
    <row r="38" spans="1:3" ht="16" x14ac:dyDescent="0.2">
      <c r="A38" s="4" t="s">
        <v>51</v>
      </c>
      <c r="B38" s="5">
        <v>1950</v>
      </c>
      <c r="C38" s="5">
        <v>2023</v>
      </c>
    </row>
    <row r="39" spans="1:3" ht="16" x14ac:dyDescent="0.2">
      <c r="A39" s="4" t="s">
        <v>52</v>
      </c>
      <c r="B39" s="5">
        <v>1950</v>
      </c>
      <c r="C39" s="5">
        <v>2023</v>
      </c>
    </row>
    <row r="40" spans="1:3" ht="16" x14ac:dyDescent="0.2">
      <c r="A40" s="4" t="s">
        <v>53</v>
      </c>
      <c r="B40" s="5">
        <v>1950</v>
      </c>
      <c r="C40" s="5">
        <v>2023</v>
      </c>
    </row>
    <row r="41" spans="1:3" ht="16" x14ac:dyDescent="0.2">
      <c r="A41" s="4" t="s">
        <v>5</v>
      </c>
      <c r="B41" s="5">
        <v>1852</v>
      </c>
      <c r="C41" s="5">
        <v>2023</v>
      </c>
    </row>
    <row r="42" spans="1:3" ht="16" x14ac:dyDescent="0.2">
      <c r="A42" s="4" t="s">
        <v>54</v>
      </c>
      <c r="B42" s="5">
        <v>1949</v>
      </c>
      <c r="C42" s="5">
        <v>2023</v>
      </c>
    </row>
    <row r="43" spans="1:3" ht="16" x14ac:dyDescent="0.2">
      <c r="A43" s="4" t="s">
        <v>6</v>
      </c>
      <c r="B43" s="5">
        <v>1902</v>
      </c>
      <c r="C43" s="5">
        <v>2023</v>
      </c>
    </row>
    <row r="44" spans="1:3" ht="16" x14ac:dyDescent="0.2">
      <c r="A44" s="4" t="s">
        <v>55</v>
      </c>
      <c r="B44" s="5">
        <v>1950</v>
      </c>
      <c r="C44" s="5">
        <v>2023</v>
      </c>
    </row>
    <row r="45" spans="1:3" ht="16" x14ac:dyDescent="0.2">
      <c r="A45" s="4" t="s">
        <v>56</v>
      </c>
      <c r="B45" s="5">
        <v>1950</v>
      </c>
      <c r="C45" s="5">
        <v>2023</v>
      </c>
    </row>
    <row r="46" spans="1:3" ht="16" x14ac:dyDescent="0.2">
      <c r="A46" s="4" t="s">
        <v>57</v>
      </c>
      <c r="B46" s="5">
        <v>1950</v>
      </c>
      <c r="C46" s="5">
        <v>2023</v>
      </c>
    </row>
    <row r="47" spans="1:3" ht="16" x14ac:dyDescent="0.2">
      <c r="A47" s="4" t="s">
        <v>58</v>
      </c>
      <c r="B47" s="5">
        <v>1950</v>
      </c>
      <c r="C47" s="5">
        <v>2023</v>
      </c>
    </row>
    <row r="48" spans="1:3" ht="16" x14ac:dyDescent="0.2">
      <c r="A48" s="4" t="s">
        <v>59</v>
      </c>
      <c r="B48" s="5">
        <v>1950</v>
      </c>
      <c r="C48" s="5">
        <v>2023</v>
      </c>
    </row>
    <row r="49" spans="1:3" ht="16" x14ac:dyDescent="0.2">
      <c r="A49" s="4" t="s">
        <v>60</v>
      </c>
      <c r="B49" s="5">
        <v>1950</v>
      </c>
      <c r="C49" s="5">
        <v>2023</v>
      </c>
    </row>
    <row r="50" spans="1:3" ht="16" x14ac:dyDescent="0.2">
      <c r="A50" s="4" t="s">
        <v>61</v>
      </c>
      <c r="B50" s="5">
        <v>1950</v>
      </c>
      <c r="C50" s="5">
        <v>2023</v>
      </c>
    </row>
    <row r="51" spans="1:3" ht="16" x14ac:dyDescent="0.2">
      <c r="A51" s="4" t="s">
        <v>62</v>
      </c>
      <c r="B51" s="5">
        <v>1950</v>
      </c>
      <c r="C51" s="5">
        <v>2023</v>
      </c>
    </row>
    <row r="52" spans="1:3" ht="16" x14ac:dyDescent="0.2">
      <c r="A52" s="4" t="s">
        <v>63</v>
      </c>
      <c r="B52" s="5">
        <v>1950</v>
      </c>
      <c r="C52" s="5">
        <v>2023</v>
      </c>
    </row>
    <row r="53" spans="1:3" ht="16" x14ac:dyDescent="0.2">
      <c r="A53" s="4" t="s">
        <v>64</v>
      </c>
      <c r="B53" s="5">
        <v>1901</v>
      </c>
      <c r="C53" s="5">
        <v>2023</v>
      </c>
    </row>
    <row r="54" spans="1:3" ht="16" x14ac:dyDescent="0.2">
      <c r="A54" s="4" t="s">
        <v>65</v>
      </c>
      <c r="B54" s="5">
        <v>1995</v>
      </c>
      <c r="C54" s="5">
        <v>2010</v>
      </c>
    </row>
    <row r="55" spans="1:3" ht="16" x14ac:dyDescent="0.2">
      <c r="A55" s="4" t="s">
        <v>66</v>
      </c>
      <c r="B55" s="5">
        <v>1950</v>
      </c>
      <c r="C55" s="5">
        <v>2023</v>
      </c>
    </row>
    <row r="56" spans="1:3" ht="16" x14ac:dyDescent="0.2">
      <c r="A56" s="4" t="s">
        <v>67</v>
      </c>
      <c r="B56" s="5">
        <v>1787</v>
      </c>
      <c r="C56" s="5">
        <v>1991</v>
      </c>
    </row>
    <row r="57" spans="1:3" ht="16" x14ac:dyDescent="0.2">
      <c r="A57" s="4" t="s">
        <v>68</v>
      </c>
      <c r="B57" s="5">
        <v>1800</v>
      </c>
      <c r="C57" s="5">
        <v>2023</v>
      </c>
    </row>
    <row r="58" spans="1:3" ht="16" x14ac:dyDescent="0.2">
      <c r="A58" s="4" t="s">
        <v>69</v>
      </c>
      <c r="B58" s="5">
        <v>1950</v>
      </c>
      <c r="C58" s="5">
        <v>2023</v>
      </c>
    </row>
    <row r="59" spans="1:3" ht="16" x14ac:dyDescent="0.2">
      <c r="A59" s="4" t="s">
        <v>70</v>
      </c>
      <c r="B59" s="5">
        <v>1950</v>
      </c>
      <c r="C59" s="5">
        <v>2023</v>
      </c>
    </row>
    <row r="60" spans="1:3" ht="16" x14ac:dyDescent="0.2">
      <c r="A60" s="4" t="s">
        <v>71</v>
      </c>
      <c r="B60" s="5">
        <v>1950</v>
      </c>
      <c r="C60" s="5">
        <v>2023</v>
      </c>
    </row>
    <row r="61" spans="1:3" ht="16" x14ac:dyDescent="0.2">
      <c r="A61" s="4" t="s">
        <v>7</v>
      </c>
      <c r="B61" s="5">
        <v>1917</v>
      </c>
      <c r="C61" s="5">
        <v>2023</v>
      </c>
    </row>
    <row r="62" spans="1:3" ht="16" x14ac:dyDescent="0.2">
      <c r="A62" s="4" t="s">
        <v>72</v>
      </c>
      <c r="B62" s="5">
        <v>1917</v>
      </c>
      <c r="C62" s="5">
        <v>2023</v>
      </c>
    </row>
    <row r="63" spans="1:3" ht="16" x14ac:dyDescent="0.2">
      <c r="A63" s="4" t="s">
        <v>73</v>
      </c>
      <c r="B63" s="5">
        <v>1950</v>
      </c>
      <c r="C63" s="5">
        <v>2023</v>
      </c>
    </row>
    <row r="64" spans="1:3" ht="16" x14ac:dyDescent="0.2">
      <c r="A64" s="4" t="s">
        <v>74</v>
      </c>
      <c r="B64" s="5">
        <v>1738</v>
      </c>
      <c r="C64" s="5">
        <v>2003</v>
      </c>
    </row>
    <row r="65" spans="1:3" ht="16" x14ac:dyDescent="0.2">
      <c r="A65" s="4" t="s">
        <v>75</v>
      </c>
      <c r="B65" s="5">
        <v>1950</v>
      </c>
      <c r="C65" s="5">
        <v>2023</v>
      </c>
    </row>
    <row r="66" spans="1:3" ht="16" x14ac:dyDescent="0.2">
      <c r="A66" s="4" t="s">
        <v>76</v>
      </c>
      <c r="B66" s="5">
        <v>1950</v>
      </c>
      <c r="C66" s="5">
        <v>2023</v>
      </c>
    </row>
    <row r="67" spans="1:3" ht="16" x14ac:dyDescent="0.2">
      <c r="A67" s="4" t="s">
        <v>77</v>
      </c>
      <c r="B67" s="5">
        <v>1950</v>
      </c>
      <c r="C67" s="5">
        <v>2023</v>
      </c>
    </row>
    <row r="68" spans="1:3" ht="16" x14ac:dyDescent="0.2">
      <c r="A68" s="4" t="s">
        <v>78</v>
      </c>
      <c r="B68" s="5">
        <v>1950</v>
      </c>
      <c r="C68" s="5">
        <v>2023</v>
      </c>
    </row>
    <row r="69" spans="1:3" ht="16" x14ac:dyDescent="0.2">
      <c r="A69" s="4" t="s">
        <v>79</v>
      </c>
      <c r="B69" s="5">
        <v>1950</v>
      </c>
      <c r="C69" s="5">
        <v>2023</v>
      </c>
    </row>
    <row r="70" spans="1:3" ht="16" x14ac:dyDescent="0.2">
      <c r="A70" s="4" t="s">
        <v>80</v>
      </c>
      <c r="B70" s="5">
        <v>1950</v>
      </c>
      <c r="C70" s="5">
        <v>2023</v>
      </c>
    </row>
    <row r="71" spans="1:3" ht="16" x14ac:dyDescent="0.2">
      <c r="A71" s="4" t="s">
        <v>81</v>
      </c>
      <c r="B71" s="5">
        <v>1922</v>
      </c>
      <c r="C71" s="5">
        <v>2023</v>
      </c>
    </row>
    <row r="72" spans="1:3" ht="16" x14ac:dyDescent="0.2">
      <c r="A72" s="4" t="s">
        <v>82</v>
      </c>
      <c r="B72" s="5">
        <v>1751</v>
      </c>
      <c r="C72" s="5">
        <v>2023</v>
      </c>
    </row>
    <row r="73" spans="1:3" ht="16" x14ac:dyDescent="0.2">
      <c r="A73" s="4" t="s">
        <v>83</v>
      </c>
      <c r="B73" s="5">
        <v>1740</v>
      </c>
      <c r="C73" s="5">
        <v>2023</v>
      </c>
    </row>
    <row r="74" spans="1:3" ht="16" x14ac:dyDescent="0.2">
      <c r="A74" s="4" t="s">
        <v>84</v>
      </c>
      <c r="B74" s="5">
        <v>1950</v>
      </c>
      <c r="C74" s="5">
        <v>2023</v>
      </c>
    </row>
    <row r="75" spans="1:3" ht="16" x14ac:dyDescent="0.2">
      <c r="A75" s="4" t="s">
        <v>85</v>
      </c>
      <c r="B75" s="5">
        <v>1950</v>
      </c>
      <c r="C75" s="5">
        <v>2023</v>
      </c>
    </row>
    <row r="76" spans="1:3" ht="16" x14ac:dyDescent="0.2">
      <c r="A76" s="4" t="s">
        <v>86</v>
      </c>
      <c r="B76" s="5">
        <v>1950</v>
      </c>
      <c r="C76" s="5">
        <v>2023</v>
      </c>
    </row>
    <row r="77" spans="1:3" ht="16" x14ac:dyDescent="0.2">
      <c r="A77" s="4" t="s">
        <v>87</v>
      </c>
      <c r="B77" s="5">
        <v>1950</v>
      </c>
      <c r="C77" s="5">
        <v>2023</v>
      </c>
    </row>
    <row r="78" spans="1:3" ht="16" x14ac:dyDescent="0.2">
      <c r="A78" s="4" t="s">
        <v>88</v>
      </c>
      <c r="B78" s="5">
        <v>1817</v>
      </c>
      <c r="C78" s="5">
        <v>2023</v>
      </c>
    </row>
    <row r="79" spans="1:3" ht="16" x14ac:dyDescent="0.2">
      <c r="A79" s="4" t="s">
        <v>89</v>
      </c>
      <c r="B79" s="5">
        <v>1950</v>
      </c>
      <c r="C79" s="5">
        <v>2023</v>
      </c>
    </row>
    <row r="80" spans="1:3" ht="16" x14ac:dyDescent="0.2">
      <c r="A80" s="4" t="s">
        <v>90</v>
      </c>
      <c r="B80" s="5">
        <v>1950</v>
      </c>
      <c r="C80" s="5">
        <v>2023</v>
      </c>
    </row>
    <row r="81" spans="1:3" ht="16" x14ac:dyDescent="0.2">
      <c r="A81" s="4" t="s">
        <v>91</v>
      </c>
      <c r="B81" s="5">
        <v>1860</v>
      </c>
      <c r="C81" s="5">
        <v>2023</v>
      </c>
    </row>
    <row r="82" spans="1:3" ht="16" x14ac:dyDescent="0.2">
      <c r="A82" s="4" t="s">
        <v>92</v>
      </c>
      <c r="B82" s="5">
        <v>1950</v>
      </c>
      <c r="C82" s="5">
        <v>2023</v>
      </c>
    </row>
    <row r="83" spans="1:3" ht="16" x14ac:dyDescent="0.2">
      <c r="A83" s="4" t="s">
        <v>93</v>
      </c>
      <c r="B83" s="5">
        <v>1950</v>
      </c>
      <c r="C83" s="5">
        <v>2023</v>
      </c>
    </row>
    <row r="84" spans="1:3" ht="16" x14ac:dyDescent="0.2">
      <c r="A84" s="4" t="s">
        <v>94</v>
      </c>
      <c r="B84" s="5">
        <v>1950</v>
      </c>
      <c r="C84" s="5">
        <v>2023</v>
      </c>
    </row>
    <row r="85" spans="1:3" ht="16" x14ac:dyDescent="0.2">
      <c r="A85" s="4" t="s">
        <v>95</v>
      </c>
      <c r="B85" s="5">
        <v>1950</v>
      </c>
      <c r="C85" s="5">
        <v>2023</v>
      </c>
    </row>
    <row r="86" spans="1:3" ht="16" x14ac:dyDescent="0.2">
      <c r="A86" s="4" t="s">
        <v>96</v>
      </c>
      <c r="B86" s="5">
        <v>1950</v>
      </c>
      <c r="C86" s="5">
        <v>2023</v>
      </c>
    </row>
    <row r="87" spans="1:3" ht="16" x14ac:dyDescent="0.2">
      <c r="A87" s="4" t="s">
        <v>97</v>
      </c>
      <c r="B87" s="5">
        <v>1950</v>
      </c>
      <c r="C87" s="5">
        <v>2023</v>
      </c>
    </row>
    <row r="88" spans="1:3" ht="16" x14ac:dyDescent="0.2">
      <c r="A88" s="4" t="s">
        <v>98</v>
      </c>
      <c r="B88" s="5">
        <v>1950</v>
      </c>
      <c r="C88" s="5">
        <v>2023</v>
      </c>
    </row>
    <row r="89" spans="1:3" ht="16" x14ac:dyDescent="0.2">
      <c r="A89" s="4" t="s">
        <v>99</v>
      </c>
      <c r="B89" s="5">
        <v>1891</v>
      </c>
      <c r="C89" s="5">
        <v>2023</v>
      </c>
    </row>
    <row r="90" spans="1:3" ht="16" x14ac:dyDescent="0.2">
      <c r="A90" s="4" t="s">
        <v>100</v>
      </c>
      <c r="B90" s="5">
        <v>1950</v>
      </c>
      <c r="C90" s="5">
        <v>2023</v>
      </c>
    </row>
    <row r="91" spans="1:3" ht="16" x14ac:dyDescent="0.2">
      <c r="A91" s="4" t="s">
        <v>101</v>
      </c>
      <c r="B91" s="5">
        <v>1950</v>
      </c>
      <c r="C91" s="5">
        <v>2023</v>
      </c>
    </row>
    <row r="92" spans="1:3" ht="16" x14ac:dyDescent="0.2">
      <c r="A92" s="4" t="s">
        <v>102</v>
      </c>
      <c r="B92" s="5">
        <v>1950</v>
      </c>
      <c r="C92" s="5">
        <v>2023</v>
      </c>
    </row>
    <row r="93" spans="1:3" ht="16" x14ac:dyDescent="0.2">
      <c r="A93" s="4" t="s">
        <v>103</v>
      </c>
      <c r="B93" s="5">
        <v>1861</v>
      </c>
      <c r="C93" s="5">
        <v>2023</v>
      </c>
    </row>
    <row r="94" spans="1:3" ht="16" x14ac:dyDescent="0.2">
      <c r="A94" s="4" t="s">
        <v>104</v>
      </c>
      <c r="B94" s="5">
        <v>1950</v>
      </c>
      <c r="C94" s="5">
        <v>2023</v>
      </c>
    </row>
    <row r="95" spans="1:3" ht="16" x14ac:dyDescent="0.2">
      <c r="A95" s="4" t="s">
        <v>105</v>
      </c>
      <c r="B95" s="5">
        <v>1911</v>
      </c>
      <c r="C95" s="5">
        <v>2023</v>
      </c>
    </row>
    <row r="96" spans="1:3" ht="16" x14ac:dyDescent="0.2">
      <c r="A96" s="4" t="s">
        <v>106</v>
      </c>
      <c r="B96" s="5">
        <v>1950</v>
      </c>
      <c r="C96" s="5">
        <v>2023</v>
      </c>
    </row>
    <row r="97" spans="1:3" ht="16" x14ac:dyDescent="0.2">
      <c r="A97" s="4" t="s">
        <v>107</v>
      </c>
      <c r="B97" s="5">
        <v>1950</v>
      </c>
      <c r="C97" s="5">
        <v>2023</v>
      </c>
    </row>
    <row r="98" spans="1:3" ht="16" x14ac:dyDescent="0.2">
      <c r="A98" s="4" t="s">
        <v>108</v>
      </c>
      <c r="B98" s="5">
        <v>1950</v>
      </c>
      <c r="C98" s="5">
        <v>2023</v>
      </c>
    </row>
    <row r="99" spans="1:3" ht="16" x14ac:dyDescent="0.2">
      <c r="A99" s="4" t="s">
        <v>109</v>
      </c>
      <c r="B99" s="5">
        <v>1922</v>
      </c>
      <c r="C99" s="5">
        <v>2023</v>
      </c>
    </row>
    <row r="100" spans="1:3" ht="16" x14ac:dyDescent="0.2">
      <c r="A100" s="4" t="s">
        <v>110</v>
      </c>
      <c r="B100" s="5">
        <v>1864</v>
      </c>
      <c r="C100" s="5">
        <v>1920</v>
      </c>
    </row>
    <row r="101" spans="1:3" ht="16" x14ac:dyDescent="0.2">
      <c r="A101" s="4" t="s">
        <v>111</v>
      </c>
      <c r="B101" s="5">
        <v>1950</v>
      </c>
      <c r="C101" s="5">
        <v>2023</v>
      </c>
    </row>
    <row r="102" spans="1:3" ht="16" x14ac:dyDescent="0.2">
      <c r="A102" s="4" t="s">
        <v>112</v>
      </c>
      <c r="B102" s="5">
        <v>1950</v>
      </c>
      <c r="C102" s="5">
        <v>2023</v>
      </c>
    </row>
    <row r="103" spans="1:3" ht="16" x14ac:dyDescent="0.2">
      <c r="A103" s="4" t="s">
        <v>113</v>
      </c>
      <c r="B103" s="5">
        <v>1925</v>
      </c>
      <c r="C103" s="5">
        <v>2010</v>
      </c>
    </row>
    <row r="104" spans="1:3" ht="16" x14ac:dyDescent="0.2">
      <c r="A104" s="4" t="s">
        <v>114</v>
      </c>
      <c r="B104" s="5">
        <v>1862</v>
      </c>
      <c r="C104" s="5">
        <v>2023</v>
      </c>
    </row>
    <row r="105" spans="1:3" ht="16" x14ac:dyDescent="0.2">
      <c r="A105" s="4" t="s">
        <v>115</v>
      </c>
      <c r="B105" s="5">
        <v>1879</v>
      </c>
      <c r="C105" s="5">
        <v>2023</v>
      </c>
    </row>
    <row r="106" spans="1:3" ht="16" x14ac:dyDescent="0.2">
      <c r="A106" s="4" t="s">
        <v>8</v>
      </c>
      <c r="B106" s="5">
        <v>1872</v>
      </c>
      <c r="C106" s="5">
        <v>2023</v>
      </c>
    </row>
    <row r="107" spans="1:3" ht="16" x14ac:dyDescent="0.2">
      <c r="A107" s="4" t="s">
        <v>116</v>
      </c>
      <c r="B107" s="5">
        <v>1950</v>
      </c>
      <c r="C107" s="5">
        <v>2023</v>
      </c>
    </row>
    <row r="108" spans="1:3" ht="16" x14ac:dyDescent="0.2">
      <c r="A108" s="4" t="s">
        <v>117</v>
      </c>
      <c r="B108" s="5">
        <v>1950</v>
      </c>
      <c r="C108" s="5">
        <v>2023</v>
      </c>
    </row>
    <row r="109" spans="1:3" ht="16" x14ac:dyDescent="0.2">
      <c r="A109" s="4" t="s">
        <v>118</v>
      </c>
      <c r="B109" s="5">
        <v>1950</v>
      </c>
      <c r="C109" s="5">
        <v>2023</v>
      </c>
    </row>
    <row r="110" spans="1:3" ht="16" x14ac:dyDescent="0.2">
      <c r="A110" s="4" t="s">
        <v>119</v>
      </c>
      <c r="B110" s="5">
        <v>1950</v>
      </c>
      <c r="C110" s="5">
        <v>2023</v>
      </c>
    </row>
    <row r="111" spans="1:3" ht="16" x14ac:dyDescent="0.2">
      <c r="A111" s="4" t="s">
        <v>120</v>
      </c>
      <c r="B111" s="5">
        <v>1950</v>
      </c>
      <c r="C111" s="5">
        <v>2023</v>
      </c>
    </row>
    <row r="112" spans="1:3" ht="16" x14ac:dyDescent="0.2">
      <c r="A112" s="4" t="s">
        <v>121</v>
      </c>
      <c r="B112" s="5">
        <v>1950</v>
      </c>
      <c r="C112" s="5">
        <v>2023</v>
      </c>
    </row>
    <row r="113" spans="1:3" ht="16" x14ac:dyDescent="0.2">
      <c r="A113" s="4" t="s">
        <v>122</v>
      </c>
      <c r="B113" s="5">
        <v>1950</v>
      </c>
      <c r="C113" s="5">
        <v>2023</v>
      </c>
    </row>
    <row r="114" spans="1:3" ht="16" x14ac:dyDescent="0.2">
      <c r="A114" s="4" t="s">
        <v>123</v>
      </c>
      <c r="B114" s="5">
        <v>1950</v>
      </c>
      <c r="C114" s="5">
        <v>2023</v>
      </c>
    </row>
    <row r="115" spans="1:3" ht="16" x14ac:dyDescent="0.2">
      <c r="A115" s="4" t="s">
        <v>124</v>
      </c>
      <c r="B115" s="5">
        <v>1950</v>
      </c>
      <c r="C115" s="5">
        <v>2023</v>
      </c>
    </row>
    <row r="116" spans="1:3" ht="16" x14ac:dyDescent="0.2">
      <c r="A116" s="4" t="s">
        <v>125</v>
      </c>
      <c r="B116" s="5">
        <v>1950</v>
      </c>
      <c r="C116" s="5">
        <v>2023</v>
      </c>
    </row>
    <row r="117" spans="1:3" ht="16" x14ac:dyDescent="0.2">
      <c r="A117" s="4" t="s">
        <v>126</v>
      </c>
      <c r="B117" s="5">
        <v>1950</v>
      </c>
      <c r="C117" s="5">
        <v>2023</v>
      </c>
    </row>
    <row r="118" spans="1:3" ht="16" x14ac:dyDescent="0.2">
      <c r="A118" s="4" t="s">
        <v>127</v>
      </c>
      <c r="B118" s="5">
        <v>1950</v>
      </c>
      <c r="C118" s="5">
        <v>2023</v>
      </c>
    </row>
    <row r="119" spans="1:3" ht="16" x14ac:dyDescent="0.2">
      <c r="A119" s="4" t="s">
        <v>128</v>
      </c>
      <c r="B119" s="5">
        <v>1950</v>
      </c>
      <c r="C119" s="5">
        <v>2023</v>
      </c>
    </row>
    <row r="120" spans="1:3" ht="16" x14ac:dyDescent="0.2">
      <c r="A120" s="4" t="s">
        <v>129</v>
      </c>
      <c r="B120" s="5">
        <v>1950</v>
      </c>
      <c r="C120" s="5">
        <v>2023</v>
      </c>
    </row>
    <row r="121" spans="1:3" ht="16" x14ac:dyDescent="0.2">
      <c r="A121" s="4" t="s">
        <v>130</v>
      </c>
      <c r="B121" s="5">
        <v>1950</v>
      </c>
      <c r="C121" s="5">
        <v>2023</v>
      </c>
    </row>
    <row r="122" spans="1:3" ht="16" x14ac:dyDescent="0.2">
      <c r="A122" s="4" t="s">
        <v>131</v>
      </c>
      <c r="B122" s="5">
        <v>1950</v>
      </c>
      <c r="C122" s="5">
        <v>2023</v>
      </c>
    </row>
    <row r="123" spans="1:3" ht="16" x14ac:dyDescent="0.2">
      <c r="A123" s="4" t="s">
        <v>132</v>
      </c>
      <c r="B123" s="5">
        <v>1950</v>
      </c>
      <c r="C123" s="5">
        <v>2023</v>
      </c>
    </row>
    <row r="124" spans="1:3" ht="16" x14ac:dyDescent="0.2">
      <c r="A124" s="4" t="s">
        <v>133</v>
      </c>
      <c r="B124" s="5">
        <v>1950</v>
      </c>
      <c r="C124" s="5">
        <v>2023</v>
      </c>
    </row>
    <row r="125" spans="1:3" ht="16" x14ac:dyDescent="0.2">
      <c r="A125" s="4" t="s">
        <v>134</v>
      </c>
      <c r="B125" s="5">
        <v>1950</v>
      </c>
      <c r="C125" s="5">
        <v>2023</v>
      </c>
    </row>
    <row r="126" spans="1:3" ht="16" x14ac:dyDescent="0.2">
      <c r="A126" s="4" t="s">
        <v>135</v>
      </c>
      <c r="B126" s="5">
        <v>1950</v>
      </c>
      <c r="C126" s="5">
        <v>2023</v>
      </c>
    </row>
    <row r="127" spans="1:3" ht="16" x14ac:dyDescent="0.2">
      <c r="A127" s="4" t="s">
        <v>136</v>
      </c>
      <c r="B127" s="5">
        <v>1950</v>
      </c>
      <c r="C127" s="5">
        <v>2023</v>
      </c>
    </row>
    <row r="128" spans="1:3" ht="16" x14ac:dyDescent="0.2">
      <c r="A128" s="4" t="s">
        <v>137</v>
      </c>
      <c r="B128" s="5">
        <v>1950</v>
      </c>
      <c r="C128" s="5">
        <v>2023</v>
      </c>
    </row>
    <row r="129" spans="1:3" ht="16" x14ac:dyDescent="0.2">
      <c r="A129" s="4" t="s">
        <v>138</v>
      </c>
      <c r="B129" s="5">
        <v>1950</v>
      </c>
      <c r="C129" s="5">
        <v>2023</v>
      </c>
    </row>
    <row r="130" spans="1:3" ht="16" x14ac:dyDescent="0.2">
      <c r="A130" s="4" t="s">
        <v>139</v>
      </c>
      <c r="B130" s="5">
        <v>1950</v>
      </c>
      <c r="C130" s="5">
        <v>2023</v>
      </c>
    </row>
    <row r="131" spans="1:3" ht="16" x14ac:dyDescent="0.2">
      <c r="A131" s="4" t="s">
        <v>140</v>
      </c>
      <c r="B131" s="5">
        <v>1950</v>
      </c>
      <c r="C131" s="5">
        <v>2023</v>
      </c>
    </row>
    <row r="132" spans="1:3" ht="16" x14ac:dyDescent="0.2">
      <c r="A132" s="4" t="s">
        <v>141</v>
      </c>
      <c r="B132" s="5">
        <v>1950</v>
      </c>
      <c r="C132" s="5">
        <v>2023</v>
      </c>
    </row>
    <row r="133" spans="1:3" ht="16" x14ac:dyDescent="0.2">
      <c r="A133" s="4" t="s">
        <v>142</v>
      </c>
      <c r="B133" s="5">
        <v>1950</v>
      </c>
      <c r="C133" s="5">
        <v>2023</v>
      </c>
    </row>
    <row r="134" spans="1:3" ht="16" x14ac:dyDescent="0.2">
      <c r="A134" s="4" t="s">
        <v>143</v>
      </c>
      <c r="B134" s="5">
        <v>1950</v>
      </c>
      <c r="C134" s="5">
        <v>2023</v>
      </c>
    </row>
    <row r="135" spans="1:3" ht="16" x14ac:dyDescent="0.2">
      <c r="A135" s="4" t="s">
        <v>144</v>
      </c>
      <c r="B135" s="5">
        <v>1875</v>
      </c>
      <c r="C135" s="5">
        <v>2023</v>
      </c>
    </row>
    <row r="136" spans="1:3" ht="16" x14ac:dyDescent="0.2">
      <c r="A136" s="4" t="s">
        <v>145</v>
      </c>
      <c r="B136" s="5">
        <v>1900</v>
      </c>
      <c r="C136" s="5">
        <v>2023</v>
      </c>
    </row>
    <row r="137" spans="1:3" ht="16" x14ac:dyDescent="0.2">
      <c r="A137" s="4" t="s">
        <v>146</v>
      </c>
      <c r="B137" s="5">
        <v>1950</v>
      </c>
      <c r="C137" s="5">
        <v>2023</v>
      </c>
    </row>
    <row r="138" spans="1:3" ht="16" x14ac:dyDescent="0.2">
      <c r="A138" s="4" t="s">
        <v>147</v>
      </c>
      <c r="B138" s="5">
        <v>1950</v>
      </c>
      <c r="C138" s="5">
        <v>2023</v>
      </c>
    </row>
    <row r="139" spans="1:3" ht="16" x14ac:dyDescent="0.2">
      <c r="A139" s="4" t="s">
        <v>148</v>
      </c>
      <c r="B139" s="5">
        <v>1950</v>
      </c>
      <c r="C139" s="5">
        <v>2023</v>
      </c>
    </row>
    <row r="140" spans="1:3" ht="16" x14ac:dyDescent="0.2">
      <c r="A140" s="4" t="s">
        <v>149</v>
      </c>
      <c r="B140" s="5">
        <v>1950</v>
      </c>
      <c r="C140" s="5">
        <v>2023</v>
      </c>
    </row>
    <row r="141" spans="1:3" ht="16" x14ac:dyDescent="0.2">
      <c r="A141" s="4" t="s">
        <v>150</v>
      </c>
      <c r="B141" s="5">
        <v>1950</v>
      </c>
      <c r="C141" s="5">
        <v>2023</v>
      </c>
    </row>
    <row r="142" spans="1:3" ht="16" x14ac:dyDescent="0.2">
      <c r="A142" s="4" t="s">
        <v>151</v>
      </c>
      <c r="B142" s="5">
        <v>1950</v>
      </c>
      <c r="C142" s="5">
        <v>2023</v>
      </c>
    </row>
    <row r="143" spans="1:3" ht="16" x14ac:dyDescent="0.2">
      <c r="A143" s="4" t="s">
        <v>152</v>
      </c>
      <c r="B143" s="5">
        <v>1950</v>
      </c>
      <c r="C143" s="5">
        <v>2023</v>
      </c>
    </row>
    <row r="144" spans="1:3" ht="16" x14ac:dyDescent="0.2">
      <c r="A144" s="4" t="s">
        <v>153</v>
      </c>
      <c r="B144" s="5">
        <v>1950</v>
      </c>
      <c r="C144" s="5">
        <v>2023</v>
      </c>
    </row>
    <row r="145" spans="1:3" ht="16" x14ac:dyDescent="0.2">
      <c r="A145" s="4" t="s">
        <v>154</v>
      </c>
      <c r="B145" s="5">
        <v>1950</v>
      </c>
      <c r="C145" s="5">
        <v>2023</v>
      </c>
    </row>
    <row r="146" spans="1:3" ht="16" x14ac:dyDescent="0.2">
      <c r="A146" s="4" t="s">
        <v>155</v>
      </c>
      <c r="B146" s="5">
        <v>1950</v>
      </c>
      <c r="C146" s="5">
        <v>2023</v>
      </c>
    </row>
    <row r="147" spans="1:3" ht="16" x14ac:dyDescent="0.2">
      <c r="A147" s="4" t="s">
        <v>156</v>
      </c>
      <c r="B147" s="5">
        <v>1950</v>
      </c>
      <c r="C147" s="5">
        <v>2023</v>
      </c>
    </row>
    <row r="148" spans="1:3" ht="16" x14ac:dyDescent="0.2">
      <c r="A148" s="4" t="s">
        <v>157</v>
      </c>
      <c r="B148" s="5">
        <v>1950</v>
      </c>
      <c r="C148" s="5">
        <v>2023</v>
      </c>
    </row>
    <row r="149" spans="1:3" ht="16" x14ac:dyDescent="0.2">
      <c r="A149" s="4" t="s">
        <v>158</v>
      </c>
      <c r="B149" s="5">
        <v>1840</v>
      </c>
      <c r="C149" s="5">
        <v>2023</v>
      </c>
    </row>
    <row r="150" spans="1:3" ht="16" x14ac:dyDescent="0.2">
      <c r="A150" s="4" t="s">
        <v>159</v>
      </c>
      <c r="B150" s="5">
        <v>1950</v>
      </c>
      <c r="C150" s="5">
        <v>2023</v>
      </c>
    </row>
    <row r="151" spans="1:3" ht="16" x14ac:dyDescent="0.2">
      <c r="A151" s="4" t="s">
        <v>160</v>
      </c>
      <c r="B151" s="5">
        <v>1855</v>
      </c>
      <c r="C151" s="5">
        <v>2023</v>
      </c>
    </row>
    <row r="152" spans="1:3" ht="16" x14ac:dyDescent="0.2">
      <c r="A152" s="4" t="s">
        <v>161</v>
      </c>
      <c r="B152" s="5">
        <v>1907</v>
      </c>
      <c r="C152" s="5">
        <v>1949</v>
      </c>
    </row>
    <row r="153" spans="1:3" ht="16" x14ac:dyDescent="0.2">
      <c r="A153" s="4" t="s">
        <v>162</v>
      </c>
      <c r="B153" s="5">
        <v>1950</v>
      </c>
      <c r="C153" s="5">
        <v>2023</v>
      </c>
    </row>
    <row r="154" spans="1:3" ht="16" x14ac:dyDescent="0.2">
      <c r="A154" s="4" t="s">
        <v>163</v>
      </c>
      <c r="B154" s="5">
        <v>1950</v>
      </c>
      <c r="C154" s="5">
        <v>2023</v>
      </c>
    </row>
    <row r="155" spans="1:3" ht="16" x14ac:dyDescent="0.2">
      <c r="A155" s="4" t="s">
        <v>164</v>
      </c>
      <c r="B155" s="5">
        <v>1950</v>
      </c>
      <c r="C155" s="5">
        <v>2023</v>
      </c>
    </row>
    <row r="156" spans="1:3" ht="16" x14ac:dyDescent="0.2">
      <c r="A156" s="4" t="s">
        <v>165</v>
      </c>
      <c r="B156" s="5">
        <v>1950</v>
      </c>
      <c r="C156" s="5">
        <v>2023</v>
      </c>
    </row>
    <row r="157" spans="1:3" ht="16" x14ac:dyDescent="0.2">
      <c r="A157" s="4" t="s">
        <v>166</v>
      </c>
      <c r="B157" s="5">
        <v>1922</v>
      </c>
      <c r="C157" s="5">
        <v>1998</v>
      </c>
    </row>
    <row r="158" spans="1:3" ht="16" x14ac:dyDescent="0.2">
      <c r="A158" s="4" t="s">
        <v>167</v>
      </c>
      <c r="B158" s="5">
        <v>1950</v>
      </c>
      <c r="C158" s="5">
        <v>2023</v>
      </c>
    </row>
    <row r="159" spans="1:3" ht="16" x14ac:dyDescent="0.2">
      <c r="A159" s="4" t="s">
        <v>9</v>
      </c>
      <c r="B159" s="5">
        <v>1735</v>
      </c>
      <c r="C159" s="5">
        <v>2023</v>
      </c>
    </row>
    <row r="160" spans="1:3" ht="16" x14ac:dyDescent="0.2">
      <c r="A160" s="4" t="s">
        <v>168</v>
      </c>
      <c r="B160" s="5">
        <v>1950</v>
      </c>
      <c r="C160" s="5">
        <v>2023</v>
      </c>
    </row>
    <row r="161" spans="1:3" ht="16" x14ac:dyDescent="0.2">
      <c r="A161" s="4" t="s">
        <v>169</v>
      </c>
      <c r="B161" s="5">
        <v>1950</v>
      </c>
      <c r="C161" s="5">
        <v>2023</v>
      </c>
    </row>
    <row r="162" spans="1:3" ht="16" x14ac:dyDescent="0.2">
      <c r="A162" s="4" t="s">
        <v>170</v>
      </c>
      <c r="B162" s="5">
        <v>1950</v>
      </c>
      <c r="C162" s="5">
        <v>2023</v>
      </c>
    </row>
    <row r="163" spans="1:3" ht="16" x14ac:dyDescent="0.2">
      <c r="A163" s="4" t="s">
        <v>171</v>
      </c>
      <c r="B163" s="5">
        <v>1930</v>
      </c>
      <c r="C163" s="5">
        <v>2023</v>
      </c>
    </row>
    <row r="164" spans="1:3" ht="16" x14ac:dyDescent="0.2">
      <c r="A164" s="4" t="s">
        <v>172</v>
      </c>
      <c r="B164" s="5">
        <v>1950</v>
      </c>
      <c r="C164" s="5">
        <v>2023</v>
      </c>
    </row>
    <row r="165" spans="1:3" ht="16" x14ac:dyDescent="0.2">
      <c r="A165" s="4" t="s">
        <v>173</v>
      </c>
      <c r="B165" s="5">
        <v>1950</v>
      </c>
      <c r="C165" s="5">
        <v>2023</v>
      </c>
    </row>
    <row r="166" spans="1:3" ht="16" x14ac:dyDescent="0.2">
      <c r="A166" s="4" t="s">
        <v>10</v>
      </c>
      <c r="B166" s="5">
        <v>1942</v>
      </c>
      <c r="C166" s="5">
        <v>2023</v>
      </c>
    </row>
    <row r="167" spans="1:3" ht="16" x14ac:dyDescent="0.2">
      <c r="A167" s="4" t="s">
        <v>174</v>
      </c>
      <c r="B167" s="5">
        <v>1903</v>
      </c>
      <c r="C167" s="5">
        <v>2023</v>
      </c>
    </row>
    <row r="168" spans="1:3" ht="16" x14ac:dyDescent="0.2">
      <c r="A168" s="4" t="s">
        <v>175</v>
      </c>
      <c r="B168" s="5">
        <v>1921</v>
      </c>
      <c r="C168" s="5">
        <v>2023</v>
      </c>
    </row>
    <row r="169" spans="1:3" ht="16" x14ac:dyDescent="0.2">
      <c r="A169" s="4" t="s">
        <v>176</v>
      </c>
      <c r="B169" s="5">
        <v>1886</v>
      </c>
      <c r="C169" s="5">
        <v>2023</v>
      </c>
    </row>
    <row r="170" spans="1:3" ht="16" x14ac:dyDescent="0.2">
      <c r="A170" s="4" t="s">
        <v>177</v>
      </c>
      <c r="B170" s="5">
        <v>1950</v>
      </c>
      <c r="C170" s="5">
        <v>2023</v>
      </c>
    </row>
    <row r="171" spans="1:3" ht="16" x14ac:dyDescent="0.2">
      <c r="A171" s="4" t="s">
        <v>178</v>
      </c>
      <c r="B171" s="5">
        <v>1950</v>
      </c>
      <c r="C171" s="5">
        <v>2023</v>
      </c>
    </row>
    <row r="172" spans="1:3" ht="16" x14ac:dyDescent="0.2">
      <c r="A172" s="4" t="s">
        <v>179</v>
      </c>
      <c r="B172" s="5">
        <v>1859</v>
      </c>
      <c r="C172" s="5">
        <v>2023</v>
      </c>
    </row>
    <row r="173" spans="1:3" ht="16" x14ac:dyDescent="0.2">
      <c r="A173" s="4" t="s">
        <v>180</v>
      </c>
      <c r="B173" s="5">
        <v>1861</v>
      </c>
      <c r="C173" s="5">
        <v>2023</v>
      </c>
    </row>
    <row r="174" spans="1:3" ht="16" x14ac:dyDescent="0.2">
      <c r="A174" s="4" t="s">
        <v>181</v>
      </c>
      <c r="B174" s="5">
        <v>1950</v>
      </c>
      <c r="C174" s="5">
        <v>2023</v>
      </c>
    </row>
    <row r="175" spans="1:3" ht="16" x14ac:dyDescent="0.2">
      <c r="A175" s="4" t="s">
        <v>182</v>
      </c>
      <c r="B175" s="5">
        <v>1950</v>
      </c>
      <c r="C175" s="5">
        <v>2023</v>
      </c>
    </row>
    <row r="176" spans="1:3" ht="16" x14ac:dyDescent="0.2">
      <c r="A176" s="4" t="s">
        <v>183</v>
      </c>
      <c r="B176" s="5">
        <v>1950</v>
      </c>
      <c r="C176" s="5">
        <v>2023</v>
      </c>
    </row>
    <row r="177" spans="1:3" ht="16" x14ac:dyDescent="0.2">
      <c r="A177" s="4" t="s">
        <v>184</v>
      </c>
      <c r="B177" s="5">
        <v>1950</v>
      </c>
      <c r="C177" s="5">
        <v>2023</v>
      </c>
    </row>
    <row r="178" spans="1:3" ht="16" x14ac:dyDescent="0.2">
      <c r="A178" s="4" t="s">
        <v>185</v>
      </c>
      <c r="B178" s="5">
        <v>1950</v>
      </c>
      <c r="C178" s="5">
        <v>2023</v>
      </c>
    </row>
    <row r="179" spans="1:3" ht="16" x14ac:dyDescent="0.2">
      <c r="A179" s="4" t="s">
        <v>186</v>
      </c>
      <c r="B179" s="5">
        <v>1950</v>
      </c>
      <c r="C179" s="5">
        <v>2023</v>
      </c>
    </row>
    <row r="180" spans="1:3" ht="16" x14ac:dyDescent="0.2">
      <c r="A180" s="4" t="s">
        <v>187</v>
      </c>
      <c r="B180" s="5">
        <v>1950</v>
      </c>
      <c r="C180" s="5">
        <v>2023</v>
      </c>
    </row>
    <row r="181" spans="1:3" ht="16" x14ac:dyDescent="0.2">
      <c r="A181" s="4" t="s">
        <v>188</v>
      </c>
      <c r="B181" s="5">
        <v>1950</v>
      </c>
      <c r="C181" s="5">
        <v>2023</v>
      </c>
    </row>
    <row r="182" spans="1:3" ht="16" x14ac:dyDescent="0.2">
      <c r="A182" s="4" t="s">
        <v>189</v>
      </c>
      <c r="B182" s="5">
        <v>1950</v>
      </c>
      <c r="C182" s="5">
        <v>2023</v>
      </c>
    </row>
    <row r="183" spans="1:3" ht="16" x14ac:dyDescent="0.2">
      <c r="A183" s="4" t="s">
        <v>190</v>
      </c>
      <c r="B183" s="5">
        <v>1950</v>
      </c>
      <c r="C183" s="5">
        <v>2023</v>
      </c>
    </row>
    <row r="184" spans="1:3" ht="16" x14ac:dyDescent="0.2">
      <c r="A184" s="4" t="s">
        <v>191</v>
      </c>
      <c r="B184" s="5">
        <v>1950</v>
      </c>
      <c r="C184" s="5">
        <v>2023</v>
      </c>
    </row>
    <row r="185" spans="1:3" ht="16" x14ac:dyDescent="0.2">
      <c r="A185" s="4" t="s">
        <v>192</v>
      </c>
      <c r="B185" s="5">
        <v>1950</v>
      </c>
      <c r="C185" s="5">
        <v>2023</v>
      </c>
    </row>
    <row r="186" spans="1:3" ht="16" x14ac:dyDescent="0.2">
      <c r="A186" s="4" t="s">
        <v>193</v>
      </c>
      <c r="B186" s="5">
        <v>1855</v>
      </c>
      <c r="C186" s="5">
        <v>1998</v>
      </c>
    </row>
    <row r="187" spans="1:3" ht="16" x14ac:dyDescent="0.2">
      <c r="A187" s="4" t="s">
        <v>194</v>
      </c>
      <c r="B187" s="5">
        <v>1950</v>
      </c>
      <c r="C187" s="5">
        <v>2023</v>
      </c>
    </row>
    <row r="188" spans="1:3" ht="16" x14ac:dyDescent="0.2">
      <c r="A188" s="4" t="s">
        <v>195</v>
      </c>
      <c r="B188" s="5">
        <v>1862</v>
      </c>
      <c r="C188" s="5">
        <v>2023</v>
      </c>
    </row>
    <row r="189" spans="1:3" ht="16" x14ac:dyDescent="0.2">
      <c r="A189" s="4" t="s">
        <v>196</v>
      </c>
      <c r="B189" s="5">
        <v>1950</v>
      </c>
      <c r="C189" s="5">
        <v>2023</v>
      </c>
    </row>
    <row r="190" spans="1:3" ht="16" x14ac:dyDescent="0.2">
      <c r="A190" s="4" t="s">
        <v>197</v>
      </c>
      <c r="B190" s="5">
        <v>1950</v>
      </c>
      <c r="C190" s="5">
        <v>2023</v>
      </c>
    </row>
    <row r="191" spans="1:3" ht="16" x14ac:dyDescent="0.2">
      <c r="A191" s="4" t="s">
        <v>198</v>
      </c>
      <c r="B191" s="5">
        <v>1900</v>
      </c>
      <c r="C191" s="5">
        <v>2023</v>
      </c>
    </row>
    <row r="192" spans="1:3" ht="16" x14ac:dyDescent="0.2">
      <c r="A192" s="4" t="s">
        <v>199</v>
      </c>
      <c r="B192" s="5">
        <v>1950</v>
      </c>
      <c r="C192" s="5">
        <v>2023</v>
      </c>
    </row>
    <row r="193" spans="1:3" ht="16" x14ac:dyDescent="0.2">
      <c r="A193" s="4" t="s">
        <v>200</v>
      </c>
      <c r="B193" s="5">
        <v>1950</v>
      </c>
      <c r="C193" s="5">
        <v>2023</v>
      </c>
    </row>
    <row r="194" spans="1:3" ht="16" x14ac:dyDescent="0.2">
      <c r="A194" s="4" t="s">
        <v>201</v>
      </c>
      <c r="B194" s="5">
        <v>1950</v>
      </c>
      <c r="C194" s="5">
        <v>2023</v>
      </c>
    </row>
    <row r="195" spans="1:3" ht="16" x14ac:dyDescent="0.2">
      <c r="A195" s="4" t="s">
        <v>202</v>
      </c>
      <c r="B195" s="5">
        <v>1950</v>
      </c>
      <c r="C195" s="5">
        <v>2023</v>
      </c>
    </row>
    <row r="196" spans="1:3" ht="16" x14ac:dyDescent="0.2">
      <c r="A196" s="4" t="s">
        <v>203</v>
      </c>
      <c r="B196" s="5">
        <v>1950</v>
      </c>
      <c r="C196" s="5">
        <v>2023</v>
      </c>
    </row>
    <row r="197" spans="1:3" ht="16" x14ac:dyDescent="0.2">
      <c r="A197" s="4" t="s">
        <v>204</v>
      </c>
      <c r="B197" s="5">
        <v>1950</v>
      </c>
      <c r="C197" s="5">
        <v>2023</v>
      </c>
    </row>
    <row r="198" spans="1:3" ht="16" x14ac:dyDescent="0.2">
      <c r="A198" s="4" t="s">
        <v>205</v>
      </c>
      <c r="B198" s="5">
        <v>1950</v>
      </c>
      <c r="C198" s="5">
        <v>2023</v>
      </c>
    </row>
    <row r="199" spans="1:3" ht="16" x14ac:dyDescent="0.2">
      <c r="A199" s="4" t="s">
        <v>206</v>
      </c>
      <c r="B199" s="5">
        <v>1858</v>
      </c>
      <c r="C199" s="5">
        <v>2023</v>
      </c>
    </row>
    <row r="200" spans="1:3" ht="16" x14ac:dyDescent="0.2">
      <c r="A200" s="4" t="s">
        <v>207</v>
      </c>
      <c r="B200" s="5">
        <v>1843</v>
      </c>
      <c r="C200" s="5">
        <v>2023</v>
      </c>
    </row>
    <row r="201" spans="1:3" ht="16" x14ac:dyDescent="0.2">
      <c r="A201" s="4" t="s">
        <v>208</v>
      </c>
      <c r="B201" s="5">
        <v>1950</v>
      </c>
      <c r="C201" s="5">
        <v>2023</v>
      </c>
    </row>
    <row r="202" spans="1:3" ht="16" x14ac:dyDescent="0.2">
      <c r="A202" s="4" t="s">
        <v>209</v>
      </c>
      <c r="B202" s="5">
        <v>1950</v>
      </c>
      <c r="C202" s="5">
        <v>2023</v>
      </c>
    </row>
    <row r="203" spans="1:3" ht="16" x14ac:dyDescent="0.2">
      <c r="A203" s="4" t="s">
        <v>11</v>
      </c>
      <c r="B203" s="5">
        <v>1736</v>
      </c>
      <c r="C203" s="5">
        <v>2023</v>
      </c>
    </row>
    <row r="204" spans="1:3" ht="16" x14ac:dyDescent="0.2">
      <c r="A204" s="4" t="s">
        <v>12</v>
      </c>
      <c r="B204" s="5">
        <v>1861</v>
      </c>
      <c r="C204" s="5">
        <v>2023</v>
      </c>
    </row>
    <row r="205" spans="1:3" ht="16" x14ac:dyDescent="0.2">
      <c r="A205" s="4" t="s">
        <v>210</v>
      </c>
      <c r="B205" s="5">
        <v>1950</v>
      </c>
      <c r="C205" s="5">
        <v>2023</v>
      </c>
    </row>
    <row r="206" spans="1:3" ht="16" x14ac:dyDescent="0.2">
      <c r="A206" s="4" t="s">
        <v>211</v>
      </c>
      <c r="B206" s="5">
        <v>1906</v>
      </c>
      <c r="C206" s="5">
        <v>2010</v>
      </c>
    </row>
    <row r="207" spans="1:3" ht="16" x14ac:dyDescent="0.2">
      <c r="A207" s="4" t="s">
        <v>212</v>
      </c>
      <c r="B207" s="5">
        <v>1950</v>
      </c>
      <c r="C207" s="5">
        <v>2023</v>
      </c>
    </row>
    <row r="208" spans="1:3" ht="16" x14ac:dyDescent="0.2">
      <c r="A208" s="4" t="s">
        <v>213</v>
      </c>
      <c r="B208" s="5">
        <v>1950</v>
      </c>
      <c r="C208" s="5">
        <v>2023</v>
      </c>
    </row>
    <row r="209" spans="1:3" ht="16" x14ac:dyDescent="0.2">
      <c r="A209" s="4" t="s">
        <v>214</v>
      </c>
      <c r="B209" s="5">
        <v>1950</v>
      </c>
      <c r="C209" s="5">
        <v>2023</v>
      </c>
    </row>
    <row r="210" spans="1:3" ht="16" x14ac:dyDescent="0.2">
      <c r="A210" s="4" t="s">
        <v>215</v>
      </c>
      <c r="B210" s="5">
        <v>1950</v>
      </c>
      <c r="C210" s="5">
        <v>2023</v>
      </c>
    </row>
    <row r="211" spans="1:3" ht="16" x14ac:dyDescent="0.2">
      <c r="A211" s="4" t="s">
        <v>216</v>
      </c>
      <c r="B211" s="5">
        <v>1950</v>
      </c>
      <c r="C211" s="5">
        <v>2023</v>
      </c>
    </row>
    <row r="212" spans="1:3" ht="16" x14ac:dyDescent="0.2">
      <c r="A212" s="4" t="s">
        <v>217</v>
      </c>
      <c r="B212" s="5">
        <v>1950</v>
      </c>
      <c r="C212" s="5">
        <v>2023</v>
      </c>
    </row>
    <row r="213" spans="1:3" ht="16" x14ac:dyDescent="0.2">
      <c r="A213" s="4" t="s">
        <v>218</v>
      </c>
      <c r="B213" s="5">
        <v>1883</v>
      </c>
      <c r="C213" s="5">
        <v>2023</v>
      </c>
    </row>
    <row r="214" spans="1:3" ht="16" x14ac:dyDescent="0.2">
      <c r="A214" s="4" t="s">
        <v>219</v>
      </c>
      <c r="B214" s="5">
        <v>1950</v>
      </c>
      <c r="C214" s="5">
        <v>2023</v>
      </c>
    </row>
    <row r="215" spans="1:3" ht="16" x14ac:dyDescent="0.2">
      <c r="A215" s="4" t="s">
        <v>220</v>
      </c>
      <c r="B215" s="5">
        <v>1950</v>
      </c>
      <c r="C215" s="5">
        <v>2023</v>
      </c>
    </row>
    <row r="216" spans="1:3" ht="16" x14ac:dyDescent="0.2">
      <c r="A216" s="4" t="s">
        <v>221</v>
      </c>
      <c r="B216" s="5">
        <v>1950</v>
      </c>
      <c r="C216" s="5">
        <v>2023</v>
      </c>
    </row>
    <row r="217" spans="1:3" ht="16" x14ac:dyDescent="0.2">
      <c r="A217" s="4" t="s">
        <v>222</v>
      </c>
      <c r="B217" s="5">
        <v>1950</v>
      </c>
      <c r="C217" s="5">
        <v>2023</v>
      </c>
    </row>
    <row r="218" spans="1:3" ht="16" x14ac:dyDescent="0.2">
      <c r="A218" s="4" t="s">
        <v>223</v>
      </c>
      <c r="B218" s="5">
        <v>1950</v>
      </c>
      <c r="C218" s="5">
        <v>2023</v>
      </c>
    </row>
    <row r="219" spans="1:3" ht="16" x14ac:dyDescent="0.2">
      <c r="A219" s="4" t="s">
        <v>224</v>
      </c>
      <c r="B219" s="5">
        <v>1950</v>
      </c>
      <c r="C219" s="5">
        <v>2023</v>
      </c>
    </row>
    <row r="220" spans="1:3" ht="16" x14ac:dyDescent="0.2">
      <c r="A220" s="4" t="s">
        <v>225</v>
      </c>
      <c r="B220" s="5">
        <v>1950</v>
      </c>
      <c r="C220" s="5">
        <v>2023</v>
      </c>
    </row>
    <row r="221" spans="1:3" ht="16" x14ac:dyDescent="0.2">
      <c r="A221" s="4" t="s">
        <v>226</v>
      </c>
      <c r="B221" s="5">
        <v>1950</v>
      </c>
      <c r="C221" s="5">
        <v>2023</v>
      </c>
    </row>
    <row r="222" spans="1:3" ht="16" x14ac:dyDescent="0.2">
      <c r="A222" s="4" t="s">
        <v>227</v>
      </c>
      <c r="B222" s="5">
        <v>1950</v>
      </c>
      <c r="C222" s="5">
        <v>2023</v>
      </c>
    </row>
    <row r="223" spans="1:3" ht="16" x14ac:dyDescent="0.2">
      <c r="A223" s="4" t="s">
        <v>13</v>
      </c>
      <c r="B223" s="5">
        <v>1800</v>
      </c>
      <c r="C223" s="5">
        <v>2023</v>
      </c>
    </row>
    <row r="224" spans="1:3" ht="16" x14ac:dyDescent="0.2">
      <c r="A224" s="4" t="s">
        <v>228</v>
      </c>
      <c r="B224" s="5">
        <v>1882</v>
      </c>
      <c r="C224" s="5">
        <v>2023</v>
      </c>
    </row>
    <row r="225" spans="1:3" ht="16" x14ac:dyDescent="0.2">
      <c r="A225" s="4" t="s">
        <v>229</v>
      </c>
      <c r="B225" s="5">
        <v>1950</v>
      </c>
      <c r="C225" s="5">
        <v>2023</v>
      </c>
    </row>
    <row r="226" spans="1:3" ht="16" x14ac:dyDescent="0.2">
      <c r="A226" s="4" t="s">
        <v>230</v>
      </c>
      <c r="B226" s="5">
        <v>1950</v>
      </c>
      <c r="C226" s="5">
        <v>2023</v>
      </c>
    </row>
    <row r="227" spans="1:3" ht="16" x14ac:dyDescent="0.2">
      <c r="A227" s="4" t="s">
        <v>14</v>
      </c>
      <c r="B227" s="5">
        <v>1887</v>
      </c>
      <c r="C227" s="5">
        <v>2023</v>
      </c>
    </row>
    <row r="228" spans="1:3" ht="16" x14ac:dyDescent="0.2">
      <c r="A228" s="4" t="s">
        <v>231</v>
      </c>
      <c r="B228" s="5">
        <v>1950</v>
      </c>
      <c r="C228" s="5">
        <v>2023</v>
      </c>
    </row>
    <row r="229" spans="1:3" ht="16" x14ac:dyDescent="0.2">
      <c r="A229" s="4" t="s">
        <v>232</v>
      </c>
      <c r="B229" s="5">
        <v>1950</v>
      </c>
      <c r="C229" s="5">
        <v>2023</v>
      </c>
    </row>
    <row r="230" spans="1:3" ht="16" x14ac:dyDescent="0.2">
      <c r="A230" s="4" t="s">
        <v>233</v>
      </c>
      <c r="B230" s="5">
        <v>1950</v>
      </c>
      <c r="C230" s="5">
        <v>2023</v>
      </c>
    </row>
    <row r="231" spans="1:3" ht="16" x14ac:dyDescent="0.2">
      <c r="A231" s="4" t="s">
        <v>234</v>
      </c>
      <c r="B231" s="5">
        <v>1950</v>
      </c>
      <c r="C231" s="5">
        <v>2023</v>
      </c>
    </row>
    <row r="232" spans="1:3" ht="16" x14ac:dyDescent="0.2">
      <c r="A232" s="4" t="s">
        <v>235</v>
      </c>
      <c r="B232" s="5">
        <v>1950</v>
      </c>
      <c r="C232" s="5">
        <v>2023</v>
      </c>
    </row>
    <row r="233" spans="1:3" ht="16" x14ac:dyDescent="0.2">
      <c r="A233" s="4" t="s">
        <v>236</v>
      </c>
      <c r="B233" s="5">
        <v>1921</v>
      </c>
      <c r="C233" s="5">
        <v>2004</v>
      </c>
    </row>
    <row r="234" spans="1:3" ht="16" x14ac:dyDescent="0.2">
      <c r="A234" s="4" t="s">
        <v>237</v>
      </c>
      <c r="B234" s="5">
        <v>1950</v>
      </c>
      <c r="C234" s="5">
        <v>2023</v>
      </c>
    </row>
    <row r="235" spans="1:3" ht="16" x14ac:dyDescent="0.2">
      <c r="A235" s="4" t="s">
        <v>238</v>
      </c>
      <c r="B235" s="5">
        <v>1950</v>
      </c>
      <c r="C235" s="5">
        <v>2023</v>
      </c>
    </row>
  </sheetData>
  <sortState xmlns:xlrd2="http://schemas.microsoft.com/office/spreadsheetml/2017/richdata2" ref="A2:C235">
    <sortCondition ref="A2:A2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F701-24FD-3B44-B1E2-431F60ACFC2A}">
  <dimension ref="A1:D13"/>
  <sheetViews>
    <sheetView workbookViewId="0">
      <selection activeCell="A15" sqref="A11:A15"/>
    </sheetView>
  </sheetViews>
  <sheetFormatPr baseColWidth="10" defaultRowHeight="15" x14ac:dyDescent="0.2"/>
  <cols>
    <col min="1" max="1" width="25.5" customWidth="1"/>
  </cols>
  <sheetData>
    <row r="1" spans="1:4" s="13" customFormat="1" x14ac:dyDescent="0.2">
      <c r="A1" s="13" t="s">
        <v>255</v>
      </c>
      <c r="B1" s="13" t="s">
        <v>241</v>
      </c>
      <c r="C1" s="13" t="s">
        <v>242</v>
      </c>
      <c r="D1" s="13" t="s">
        <v>243</v>
      </c>
    </row>
    <row r="2" spans="1:4" x14ac:dyDescent="0.2">
      <c r="A2" s="12">
        <v>1681</v>
      </c>
      <c r="B2" s="12">
        <v>43.3</v>
      </c>
      <c r="C2" s="12">
        <v>18.399999999999999</v>
      </c>
      <c r="D2" s="12">
        <v>24.9</v>
      </c>
    </row>
    <row r="3" spans="1:4" x14ac:dyDescent="0.2">
      <c r="A3" s="12">
        <v>1691</v>
      </c>
      <c r="B3" s="12">
        <v>53.4</v>
      </c>
      <c r="C3" s="12">
        <v>17.2</v>
      </c>
      <c r="D3" s="12">
        <v>36.200000000000003</v>
      </c>
    </row>
    <row r="4" spans="1:4" x14ac:dyDescent="0.2">
      <c r="A4" s="12">
        <v>1701</v>
      </c>
      <c r="B4" s="12">
        <v>57.8</v>
      </c>
      <c r="C4" s="12">
        <v>24.2</v>
      </c>
      <c r="D4" s="12">
        <v>33.6</v>
      </c>
    </row>
    <row r="5" spans="1:4" x14ac:dyDescent="0.2">
      <c r="A5" s="12">
        <v>1711</v>
      </c>
      <c r="B5" s="12">
        <v>57.5</v>
      </c>
      <c r="C5" s="12">
        <v>25.1</v>
      </c>
      <c r="D5" s="12">
        <v>32.4</v>
      </c>
    </row>
    <row r="6" spans="1:4" x14ac:dyDescent="0.2">
      <c r="A6" s="12">
        <v>1721</v>
      </c>
      <c r="B6" s="12">
        <v>55.2</v>
      </c>
      <c r="C6" s="12">
        <v>24.2</v>
      </c>
      <c r="D6" s="12">
        <v>31</v>
      </c>
    </row>
    <row r="7" spans="1:4" x14ac:dyDescent="0.2">
      <c r="A7" s="12">
        <v>1731</v>
      </c>
      <c r="B7" s="12">
        <v>56.6</v>
      </c>
      <c r="C7" s="12">
        <v>25.6</v>
      </c>
      <c r="D7" s="12">
        <v>31</v>
      </c>
    </row>
    <row r="8" spans="1:4" x14ac:dyDescent="0.2">
      <c r="A8" s="12">
        <v>1741</v>
      </c>
      <c r="B8" s="12">
        <v>55.9</v>
      </c>
      <c r="C8" s="12">
        <v>32.200000000000003</v>
      </c>
      <c r="D8" s="12">
        <v>23.7</v>
      </c>
    </row>
    <row r="9" spans="1:4" x14ac:dyDescent="0.2">
      <c r="A9" s="12">
        <v>1751</v>
      </c>
      <c r="B9" s="12">
        <v>59.6</v>
      </c>
      <c r="C9" s="12">
        <v>38.200000000000003</v>
      </c>
      <c r="D9" s="12">
        <v>21.4</v>
      </c>
    </row>
    <row r="11" spans="1:4" x14ac:dyDescent="0.2">
      <c r="A11" s="15"/>
    </row>
    <row r="13" spans="1:4" x14ac:dyDescent="0.2">
      <c r="A13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20BB-DDCE-3A42-A17C-792095249929}">
  <dimension ref="A1:D17"/>
  <sheetViews>
    <sheetView zoomScale="108" workbookViewId="0">
      <selection activeCell="A19" sqref="A15:A19"/>
    </sheetView>
  </sheetViews>
  <sheetFormatPr baseColWidth="10" defaultRowHeight="15" x14ac:dyDescent="0.2"/>
  <cols>
    <col min="1" max="1" width="15.33203125" customWidth="1"/>
  </cols>
  <sheetData>
    <row r="1" spans="1:4" s="11" customFormat="1" x14ac:dyDescent="0.2">
      <c r="A1" s="11" t="s">
        <v>255</v>
      </c>
      <c r="B1" s="11" t="s">
        <v>241</v>
      </c>
      <c r="C1" s="11" t="s">
        <v>242</v>
      </c>
      <c r="D1" s="11" t="s">
        <v>243</v>
      </c>
    </row>
    <row r="2" spans="1:4" x14ac:dyDescent="0.2">
      <c r="A2">
        <v>1761</v>
      </c>
      <c r="B2">
        <v>65.2</v>
      </c>
      <c r="C2">
        <v>33.799999999999997</v>
      </c>
      <c r="D2">
        <f t="shared" ref="D2:D13" si="0">B2-C2</f>
        <v>31.400000000000006</v>
      </c>
    </row>
    <row r="3" spans="1:4" x14ac:dyDescent="0.2">
      <c r="A3">
        <f t="shared" ref="A3:A13" si="1">A2+10</f>
        <v>1771</v>
      </c>
      <c r="B3">
        <v>64.900000000000006</v>
      </c>
      <c r="C3">
        <v>34.700000000000003</v>
      </c>
      <c r="D3">
        <f t="shared" si="0"/>
        <v>30.200000000000003</v>
      </c>
    </row>
    <row r="4" spans="1:4" x14ac:dyDescent="0.2">
      <c r="A4">
        <f t="shared" si="1"/>
        <v>1781</v>
      </c>
      <c r="B4">
        <v>62.1</v>
      </c>
      <c r="C4">
        <v>32.4</v>
      </c>
      <c r="D4">
        <f t="shared" si="0"/>
        <v>29.700000000000003</v>
      </c>
    </row>
    <row r="5" spans="1:4" x14ac:dyDescent="0.2">
      <c r="A5">
        <f t="shared" si="1"/>
        <v>1791</v>
      </c>
      <c r="B5">
        <v>61.1</v>
      </c>
      <c r="C5">
        <v>29.5</v>
      </c>
      <c r="D5">
        <f t="shared" si="0"/>
        <v>31.6</v>
      </c>
    </row>
    <row r="6" spans="1:4" x14ac:dyDescent="0.2">
      <c r="A6">
        <f t="shared" si="1"/>
        <v>1801</v>
      </c>
      <c r="B6">
        <v>58.4</v>
      </c>
      <c r="C6">
        <v>30</v>
      </c>
      <c r="D6">
        <f t="shared" si="0"/>
        <v>28.4</v>
      </c>
    </row>
    <row r="7" spans="1:4" x14ac:dyDescent="0.2">
      <c r="A7">
        <f t="shared" si="1"/>
        <v>1811</v>
      </c>
      <c r="B7">
        <v>56</v>
      </c>
      <c r="C7">
        <v>27.5</v>
      </c>
      <c r="D7">
        <f t="shared" si="0"/>
        <v>28.5</v>
      </c>
    </row>
    <row r="8" spans="1:4" x14ac:dyDescent="0.2">
      <c r="A8">
        <f t="shared" si="1"/>
        <v>1821</v>
      </c>
      <c r="B8">
        <v>56</v>
      </c>
      <c r="C8">
        <v>27.1</v>
      </c>
      <c r="D8">
        <f t="shared" si="0"/>
        <v>28.9</v>
      </c>
    </row>
    <row r="9" spans="1:4" x14ac:dyDescent="0.2">
      <c r="A9">
        <f t="shared" si="1"/>
        <v>1831</v>
      </c>
      <c r="B9">
        <v>54</v>
      </c>
      <c r="C9">
        <v>27.3</v>
      </c>
      <c r="D9">
        <f t="shared" si="0"/>
        <v>26.7</v>
      </c>
    </row>
    <row r="10" spans="1:4" x14ac:dyDescent="0.2">
      <c r="A10">
        <f t="shared" si="1"/>
        <v>1841</v>
      </c>
      <c r="B10">
        <v>53</v>
      </c>
      <c r="C10">
        <v>23.8</v>
      </c>
      <c r="D10">
        <f t="shared" si="0"/>
        <v>29.2</v>
      </c>
    </row>
    <row r="11" spans="1:4" x14ac:dyDescent="0.2">
      <c r="A11">
        <f t="shared" si="1"/>
        <v>1851</v>
      </c>
      <c r="B11">
        <v>45.8</v>
      </c>
      <c r="C11">
        <v>19.600000000000001</v>
      </c>
      <c r="D11">
        <f t="shared" si="0"/>
        <v>26.199999999999996</v>
      </c>
    </row>
    <row r="12" spans="1:4" x14ac:dyDescent="0.2">
      <c r="A12">
        <f t="shared" si="1"/>
        <v>1861</v>
      </c>
      <c r="B12">
        <v>45</v>
      </c>
      <c r="C12">
        <v>21</v>
      </c>
      <c r="D12">
        <f t="shared" si="0"/>
        <v>24</v>
      </c>
    </row>
    <row r="13" spans="1:4" x14ac:dyDescent="0.2">
      <c r="A13">
        <f t="shared" si="1"/>
        <v>1871</v>
      </c>
      <c r="B13">
        <v>46.5</v>
      </c>
      <c r="C13">
        <v>24.6</v>
      </c>
      <c r="D13">
        <f t="shared" si="0"/>
        <v>21.9</v>
      </c>
    </row>
    <row r="15" spans="1:4" x14ac:dyDescent="0.2">
      <c r="A15" s="15"/>
    </row>
    <row r="17" spans="1:1" x14ac:dyDescent="0.2">
      <c r="A17" s="1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4DD4-A87B-664C-9667-5914103009A2}">
  <dimension ref="A1:M14"/>
  <sheetViews>
    <sheetView workbookViewId="0">
      <selection activeCell="F29" sqref="F29"/>
    </sheetView>
  </sheetViews>
  <sheetFormatPr baseColWidth="10" defaultRowHeight="15" x14ac:dyDescent="0.2"/>
  <cols>
    <col min="1" max="1" width="24.5" customWidth="1"/>
  </cols>
  <sheetData>
    <row r="1" spans="1:13" s="13" customFormat="1" x14ac:dyDescent="0.2">
      <c r="A1" s="13" t="s">
        <v>252</v>
      </c>
      <c r="B1" s="13" t="s">
        <v>241</v>
      </c>
      <c r="C1" s="13" t="s">
        <v>242</v>
      </c>
      <c r="D1" s="13" t="s">
        <v>243</v>
      </c>
    </row>
    <row r="2" spans="1:13" x14ac:dyDescent="0.2">
      <c r="A2">
        <v>1846</v>
      </c>
      <c r="B2">
        <v>46.2</v>
      </c>
    </row>
    <row r="3" spans="1:13" x14ac:dyDescent="0.2">
      <c r="A3">
        <f>A2+10</f>
        <v>1856</v>
      </c>
      <c r="B3">
        <v>44.9</v>
      </c>
    </row>
    <row r="4" spans="1:13" x14ac:dyDescent="0.2">
      <c r="A4">
        <f t="shared" ref="A4:A9" si="0">A3+10</f>
        <v>1866</v>
      </c>
      <c r="B4">
        <v>45</v>
      </c>
    </row>
    <row r="5" spans="1:13" x14ac:dyDescent="0.2">
      <c r="A5">
        <f t="shared" si="0"/>
        <v>1876</v>
      </c>
      <c r="B5">
        <v>39.299999999999997</v>
      </c>
    </row>
    <row r="6" spans="1:13" x14ac:dyDescent="0.2">
      <c r="A6">
        <f t="shared" si="0"/>
        <v>1886</v>
      </c>
      <c r="B6">
        <v>35.700000000000003</v>
      </c>
    </row>
    <row r="7" spans="1:13" x14ac:dyDescent="0.2">
      <c r="A7">
        <f t="shared" si="0"/>
        <v>1896</v>
      </c>
      <c r="B7">
        <v>36</v>
      </c>
    </row>
    <row r="8" spans="1:13" x14ac:dyDescent="0.2">
      <c r="A8">
        <f t="shared" si="0"/>
        <v>1906</v>
      </c>
      <c r="B8">
        <v>34.4</v>
      </c>
    </row>
    <row r="9" spans="1:13" x14ac:dyDescent="0.2">
      <c r="A9">
        <f t="shared" si="0"/>
        <v>1916</v>
      </c>
      <c r="B9">
        <v>30.5</v>
      </c>
    </row>
    <row r="12" spans="1:13" x14ac:dyDescent="0.2">
      <c r="A12" s="15"/>
      <c r="B12" s="15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 x14ac:dyDescent="0.2">
      <c r="A13" s="14"/>
      <c r="B13" s="14"/>
    </row>
    <row r="14" spans="1:13" x14ac:dyDescent="0.2">
      <c r="A14" s="15"/>
      <c r="B14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B884-7A13-7D45-BC2B-3F4B03BE8991}">
  <dimension ref="A1:D14"/>
  <sheetViews>
    <sheetView workbookViewId="0">
      <selection activeCell="A17" sqref="A11:A17"/>
    </sheetView>
  </sheetViews>
  <sheetFormatPr baseColWidth="10" defaultRowHeight="15" x14ac:dyDescent="0.2"/>
  <cols>
    <col min="1" max="1" width="22.1640625" bestFit="1" customWidth="1"/>
  </cols>
  <sheetData>
    <row r="1" spans="1:4" s="13" customFormat="1" x14ac:dyDescent="0.2">
      <c r="A1" s="13" t="s">
        <v>252</v>
      </c>
      <c r="B1" s="13" t="s">
        <v>241</v>
      </c>
      <c r="C1" s="13" t="s">
        <v>242</v>
      </c>
      <c r="D1" s="13" t="s">
        <v>243</v>
      </c>
    </row>
    <row r="2" spans="1:4" x14ac:dyDescent="0.2">
      <c r="A2">
        <v>1846</v>
      </c>
      <c r="B2">
        <v>45</v>
      </c>
    </row>
    <row r="3" spans="1:4" x14ac:dyDescent="0.2">
      <c r="A3">
        <f>A2+10</f>
        <v>1856</v>
      </c>
      <c r="B3">
        <v>43</v>
      </c>
    </row>
    <row r="4" spans="1:4" x14ac:dyDescent="0.2">
      <c r="A4">
        <f t="shared" ref="A4:A9" si="0">A3+10</f>
        <v>1866</v>
      </c>
      <c r="B4">
        <v>43.2</v>
      </c>
    </row>
    <row r="5" spans="1:4" x14ac:dyDescent="0.2">
      <c r="A5">
        <f t="shared" si="0"/>
        <v>1876</v>
      </c>
      <c r="B5">
        <v>42</v>
      </c>
    </row>
    <row r="6" spans="1:4" x14ac:dyDescent="0.2">
      <c r="A6">
        <f t="shared" si="0"/>
        <v>1886</v>
      </c>
      <c r="B6">
        <v>39.299999999999997</v>
      </c>
    </row>
    <row r="7" spans="1:4" x14ac:dyDescent="0.2">
      <c r="A7">
        <f t="shared" si="0"/>
        <v>1896</v>
      </c>
      <c r="B7">
        <v>38.299999999999997</v>
      </c>
    </row>
    <row r="8" spans="1:4" x14ac:dyDescent="0.2">
      <c r="A8">
        <f t="shared" si="0"/>
        <v>1906</v>
      </c>
      <c r="B8">
        <v>38</v>
      </c>
    </row>
    <row r="9" spans="1:4" x14ac:dyDescent="0.2">
      <c r="A9">
        <f t="shared" si="0"/>
        <v>1916</v>
      </c>
      <c r="B9">
        <v>36.299999999999997</v>
      </c>
    </row>
    <row r="12" spans="1:4" x14ac:dyDescent="0.2">
      <c r="A12" s="15"/>
    </row>
    <row r="13" spans="1:4" x14ac:dyDescent="0.2">
      <c r="A13" s="14"/>
    </row>
    <row r="14" spans="1:4" x14ac:dyDescent="0.2">
      <c r="A14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92D5-8745-6848-B91D-528FBA480EA3}">
  <dimension ref="A1:D26"/>
  <sheetViews>
    <sheetView workbookViewId="0">
      <selection activeCell="A29" sqref="A24:A29"/>
    </sheetView>
  </sheetViews>
  <sheetFormatPr baseColWidth="10" defaultRowHeight="15" x14ac:dyDescent="0.2"/>
  <sheetData>
    <row r="1" spans="1:4" x14ac:dyDescent="0.2">
      <c r="A1" s="13" t="s">
        <v>260</v>
      </c>
      <c r="B1" s="13" t="s">
        <v>241</v>
      </c>
      <c r="C1" s="13" t="s">
        <v>242</v>
      </c>
      <c r="D1" s="13" t="s">
        <v>243</v>
      </c>
    </row>
    <row r="2" spans="1:4" x14ac:dyDescent="0.2">
      <c r="A2">
        <v>1919</v>
      </c>
      <c r="B2">
        <v>17.34</v>
      </c>
      <c r="C2">
        <v>27.06</v>
      </c>
      <c r="D2">
        <v>-9.7200000000000006</v>
      </c>
    </row>
    <row r="3" spans="1:4" x14ac:dyDescent="0.2">
      <c r="A3">
        <v>1920</v>
      </c>
      <c r="B3">
        <v>18.38</v>
      </c>
      <c r="C3">
        <v>20.010000000000002</v>
      </c>
      <c r="D3">
        <v>-1.63</v>
      </c>
    </row>
    <row r="4" spans="1:4" x14ac:dyDescent="0.2">
      <c r="A4">
        <v>1921</v>
      </c>
      <c r="B4">
        <v>20.3</v>
      </c>
      <c r="C4">
        <v>15.77</v>
      </c>
      <c r="D4">
        <v>4.53</v>
      </c>
    </row>
    <row r="5" spans="1:4" x14ac:dyDescent="0.2">
      <c r="A5">
        <v>1922</v>
      </c>
      <c r="B5">
        <v>20.190000000000001</v>
      </c>
      <c r="C5">
        <v>16.690000000000001</v>
      </c>
      <c r="D5">
        <v>3.5</v>
      </c>
    </row>
    <row r="6" spans="1:4" x14ac:dyDescent="0.2">
      <c r="A6">
        <v>1923</v>
      </c>
      <c r="B6">
        <v>20.12</v>
      </c>
      <c r="C6">
        <v>14.97</v>
      </c>
      <c r="D6">
        <v>5.15</v>
      </c>
    </row>
    <row r="7" spans="1:4" x14ac:dyDescent="0.2">
      <c r="A7">
        <v>1924</v>
      </c>
      <c r="B7">
        <v>19.22</v>
      </c>
      <c r="C7">
        <v>15.16</v>
      </c>
      <c r="D7">
        <v>4.0599999999999996</v>
      </c>
    </row>
    <row r="8" spans="1:4" x14ac:dyDescent="0.2">
      <c r="A8">
        <v>1925</v>
      </c>
      <c r="B8">
        <v>18.3</v>
      </c>
      <c r="C8">
        <v>14.93</v>
      </c>
      <c r="D8">
        <v>3.37</v>
      </c>
    </row>
    <row r="9" spans="1:4" x14ac:dyDescent="0.2">
      <c r="A9">
        <v>1926</v>
      </c>
      <c r="B9">
        <v>17.89</v>
      </c>
      <c r="C9">
        <v>16.16</v>
      </c>
      <c r="D9">
        <v>1.73</v>
      </c>
    </row>
    <row r="10" spans="1:4" x14ac:dyDescent="0.2">
      <c r="A10">
        <v>1927</v>
      </c>
      <c r="B10">
        <v>17.66</v>
      </c>
      <c r="C10">
        <v>17.350000000000001</v>
      </c>
      <c r="D10">
        <v>0.31</v>
      </c>
    </row>
    <row r="11" spans="1:4" x14ac:dyDescent="0.2">
      <c r="A11">
        <v>1928</v>
      </c>
      <c r="B11">
        <v>17.98</v>
      </c>
      <c r="C11">
        <v>15.94</v>
      </c>
      <c r="D11">
        <v>2.04</v>
      </c>
    </row>
    <row r="12" spans="1:4" x14ac:dyDescent="0.2">
      <c r="A12">
        <v>1929</v>
      </c>
      <c r="B12">
        <v>17.13</v>
      </c>
      <c r="C12">
        <v>18.09</v>
      </c>
      <c r="D12">
        <v>-0.96</v>
      </c>
    </row>
    <row r="13" spans="1:4" x14ac:dyDescent="0.2">
      <c r="A13">
        <v>1930</v>
      </c>
      <c r="B13">
        <v>17.45</v>
      </c>
      <c r="C13">
        <v>14.88</v>
      </c>
      <c r="D13">
        <v>2.57</v>
      </c>
    </row>
    <row r="14" spans="1:4" x14ac:dyDescent="0.2">
      <c r="A14">
        <v>1931</v>
      </c>
      <c r="B14">
        <v>17.440000000000001</v>
      </c>
      <c r="C14">
        <v>16.16</v>
      </c>
      <c r="D14">
        <v>1.28</v>
      </c>
    </row>
    <row r="15" spans="1:4" x14ac:dyDescent="0.2">
      <c r="A15">
        <v>1932</v>
      </c>
      <c r="B15">
        <v>17.600000000000001</v>
      </c>
      <c r="C15">
        <v>14.84</v>
      </c>
      <c r="D15">
        <v>2.76</v>
      </c>
    </row>
    <row r="16" spans="1:4" x14ac:dyDescent="0.2">
      <c r="A16">
        <v>1933</v>
      </c>
      <c r="B16">
        <v>16.2</v>
      </c>
      <c r="C16">
        <v>14.65</v>
      </c>
      <c r="D16">
        <v>1.55</v>
      </c>
    </row>
    <row r="17" spans="1:4" x14ac:dyDescent="0.2">
      <c r="A17">
        <v>1934</v>
      </c>
      <c r="B17">
        <v>15.36</v>
      </c>
      <c r="C17">
        <v>14.07</v>
      </c>
      <c r="D17">
        <v>1.29</v>
      </c>
    </row>
    <row r="18" spans="1:4" x14ac:dyDescent="0.2">
      <c r="A18">
        <v>1935</v>
      </c>
      <c r="B18">
        <v>15.85</v>
      </c>
      <c r="C18">
        <v>14.94</v>
      </c>
      <c r="D18">
        <v>0.91</v>
      </c>
    </row>
    <row r="19" spans="1:4" x14ac:dyDescent="0.2">
      <c r="A19">
        <v>1936</v>
      </c>
      <c r="B19">
        <v>16.13</v>
      </c>
      <c r="C19">
        <v>15.57</v>
      </c>
      <c r="D19">
        <v>0.56000000000000005</v>
      </c>
    </row>
    <row r="20" spans="1:4" x14ac:dyDescent="0.2">
      <c r="A20">
        <v>1937</v>
      </c>
      <c r="B20">
        <v>16.09</v>
      </c>
      <c r="C20">
        <v>14.69</v>
      </c>
      <c r="D20">
        <v>1.4</v>
      </c>
    </row>
    <row r="21" spans="1:4" x14ac:dyDescent="0.2">
      <c r="A21">
        <v>1938</v>
      </c>
      <c r="B21">
        <v>16.29</v>
      </c>
      <c r="C21">
        <v>14.57</v>
      </c>
      <c r="D21">
        <v>1.72</v>
      </c>
    </row>
    <row r="22" spans="1:4" x14ac:dyDescent="0.2">
      <c r="A22">
        <v>1939</v>
      </c>
      <c r="B22">
        <v>16.38</v>
      </c>
      <c r="C22">
        <v>15.16</v>
      </c>
      <c r="D22">
        <v>1.22</v>
      </c>
    </row>
    <row r="26" spans="1:4" x14ac:dyDescent="0.2">
      <c r="A26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E3354-A8D4-C043-93AF-03B95B99D600}">
  <dimension ref="A1:O100"/>
  <sheetViews>
    <sheetView zoomScale="59" workbookViewId="0">
      <pane xSplit="1" topLeftCell="B1" activePane="topRight" state="frozen"/>
      <selection pane="topRight" activeCell="H106" sqref="H106"/>
    </sheetView>
  </sheetViews>
  <sheetFormatPr baseColWidth="10" defaultRowHeight="15" x14ac:dyDescent="0.2"/>
  <cols>
    <col min="1" max="1" width="10.83203125" style="16"/>
    <col min="2" max="2" width="13.1640625" bestFit="1" customWidth="1"/>
    <col min="5" max="5" width="10.83203125" style="16"/>
    <col min="9" max="9" width="10.83203125" style="16"/>
    <col min="10" max="10" width="13.1640625" style="29" customWidth="1"/>
    <col min="11" max="11" width="13" customWidth="1"/>
    <col min="12" max="12" width="14.1640625" style="16" bestFit="1" customWidth="1"/>
    <col min="13" max="13" width="14.1640625" style="21" bestFit="1" customWidth="1"/>
    <col min="14" max="14" width="14.5" style="21" bestFit="1" customWidth="1"/>
    <col min="15" max="15" width="12.33203125" style="22" bestFit="1" customWidth="1"/>
  </cols>
  <sheetData>
    <row r="1" spans="1:15" s="25" customFormat="1" ht="16" thickBot="1" x14ac:dyDescent="0.25">
      <c r="A1" s="24" t="s">
        <v>260</v>
      </c>
      <c r="B1" s="25" t="s">
        <v>263</v>
      </c>
      <c r="C1" s="25" t="s">
        <v>265</v>
      </c>
      <c r="D1" s="25" t="s">
        <v>266</v>
      </c>
      <c r="E1" s="24" t="s">
        <v>269</v>
      </c>
      <c r="F1" s="25" t="s">
        <v>264</v>
      </c>
      <c r="G1" s="25" t="s">
        <v>267</v>
      </c>
      <c r="H1" s="25" t="s">
        <v>268</v>
      </c>
      <c r="I1" s="24" t="s">
        <v>270</v>
      </c>
      <c r="J1" s="28" t="s">
        <v>273</v>
      </c>
      <c r="K1" s="25" t="s">
        <v>271</v>
      </c>
      <c r="L1" s="24" t="s">
        <v>272</v>
      </c>
      <c r="M1" s="26" t="s">
        <v>274</v>
      </c>
      <c r="N1" s="26" t="s">
        <v>277</v>
      </c>
      <c r="O1" s="26" t="s">
        <v>243</v>
      </c>
    </row>
    <row r="2" spans="1:15" s="13" customFormat="1" x14ac:dyDescent="0.2">
      <c r="A2" s="19">
        <v>1925</v>
      </c>
      <c r="B2" s="14"/>
      <c r="C2" s="14"/>
      <c r="D2" s="14"/>
      <c r="E2" s="19"/>
      <c r="F2" s="14"/>
      <c r="G2" s="14"/>
      <c r="H2" s="14"/>
      <c r="I2" s="19"/>
      <c r="J2" s="27">
        <v>19015526</v>
      </c>
      <c r="K2" s="14"/>
      <c r="L2" s="19"/>
      <c r="M2" s="23">
        <v>43</v>
      </c>
      <c r="N2" s="23">
        <v>20.7</v>
      </c>
      <c r="O2" s="23">
        <f>M2-N2</f>
        <v>22.3</v>
      </c>
    </row>
    <row r="3" spans="1:15" s="13" customFormat="1" x14ac:dyDescent="0.2">
      <c r="A3" s="19">
        <f>A2+1</f>
        <v>1926</v>
      </c>
      <c r="B3" s="14"/>
      <c r="C3" s="14"/>
      <c r="D3" s="14"/>
      <c r="E3" s="19"/>
      <c r="F3" s="14"/>
      <c r="G3" s="14"/>
      <c r="H3" s="14"/>
      <c r="I3" s="19"/>
      <c r="J3" s="27"/>
      <c r="K3" s="14"/>
      <c r="L3" s="19"/>
      <c r="M3" s="21"/>
      <c r="N3" s="21">
        <v>20.399999999999999</v>
      </c>
      <c r="O3" s="21"/>
    </row>
    <row r="4" spans="1:15" s="13" customFormat="1" x14ac:dyDescent="0.2">
      <c r="A4" s="19">
        <f t="shared" ref="A4:A26" si="0">A3+1</f>
        <v>1927</v>
      </c>
      <c r="B4" s="14"/>
      <c r="C4" s="14"/>
      <c r="D4" s="14"/>
      <c r="E4" s="19"/>
      <c r="F4" s="14"/>
      <c r="G4" s="14"/>
      <c r="H4" s="14"/>
      <c r="I4" s="19"/>
      <c r="J4" s="27"/>
      <c r="K4" s="14"/>
      <c r="L4" s="19"/>
      <c r="M4" s="21"/>
      <c r="N4" s="21">
        <v>21.6</v>
      </c>
      <c r="O4" s="21"/>
    </row>
    <row r="5" spans="1:15" s="13" customFormat="1" x14ac:dyDescent="0.2">
      <c r="A5" s="19">
        <f t="shared" si="0"/>
        <v>1928</v>
      </c>
      <c r="B5" s="14"/>
      <c r="C5" s="14"/>
      <c r="D5" s="14"/>
      <c r="E5" s="19"/>
      <c r="F5" s="14"/>
      <c r="G5" s="14"/>
      <c r="H5" s="14"/>
      <c r="I5" s="19"/>
      <c r="J5" s="27"/>
      <c r="K5" s="14"/>
      <c r="L5" s="19"/>
      <c r="M5" s="21"/>
      <c r="N5" s="21">
        <v>22.7</v>
      </c>
      <c r="O5" s="21"/>
    </row>
    <row r="6" spans="1:15" s="13" customFormat="1" x14ac:dyDescent="0.2">
      <c r="A6" s="19">
        <f t="shared" si="0"/>
        <v>1929</v>
      </c>
      <c r="B6" s="14"/>
      <c r="C6" s="14"/>
      <c r="D6" s="14"/>
      <c r="E6" s="19"/>
      <c r="F6" s="14"/>
      <c r="G6" s="14"/>
      <c r="H6" s="14"/>
      <c r="I6" s="19"/>
      <c r="J6" s="27"/>
      <c r="K6" s="14"/>
      <c r="L6" s="19"/>
      <c r="M6" s="21"/>
      <c r="N6" s="21">
        <v>24.1</v>
      </c>
      <c r="O6" s="21"/>
    </row>
    <row r="7" spans="1:15" s="13" customFormat="1" x14ac:dyDescent="0.2">
      <c r="A7" s="19">
        <f t="shared" si="0"/>
        <v>1930</v>
      </c>
      <c r="B7" s="14"/>
      <c r="C7" s="14"/>
      <c r="D7" s="14"/>
      <c r="E7" s="19"/>
      <c r="F7" s="14"/>
      <c r="G7" s="14"/>
      <c r="H7" s="14"/>
      <c r="I7" s="19"/>
      <c r="J7" s="27">
        <v>20256563</v>
      </c>
      <c r="K7" s="14"/>
      <c r="L7" s="19"/>
      <c r="M7" s="21">
        <v>42.3</v>
      </c>
      <c r="N7" s="21">
        <v>19</v>
      </c>
      <c r="O7" s="21">
        <f t="shared" ref="O7:O21" si="1">M7-N7</f>
        <v>23.299999999999997</v>
      </c>
    </row>
    <row r="8" spans="1:15" x14ac:dyDescent="0.2">
      <c r="A8" s="19">
        <f t="shared" si="0"/>
        <v>1931</v>
      </c>
      <c r="B8" s="14"/>
      <c r="C8" s="14"/>
      <c r="D8" s="14"/>
      <c r="E8" s="19"/>
      <c r="F8" s="14"/>
      <c r="G8" s="14"/>
      <c r="H8" s="14"/>
      <c r="I8" s="19"/>
      <c r="J8" s="27"/>
      <c r="K8" s="14"/>
      <c r="L8" s="19"/>
      <c r="N8" s="21">
        <v>20.399999999999999</v>
      </c>
      <c r="O8" s="21"/>
    </row>
    <row r="9" spans="1:15" x14ac:dyDescent="0.2">
      <c r="A9" s="19">
        <f t="shared" si="0"/>
        <v>1932</v>
      </c>
      <c r="B9" s="14"/>
      <c r="C9" s="14"/>
      <c r="D9" s="14"/>
      <c r="E9" s="19"/>
      <c r="F9" s="14"/>
      <c r="G9" s="14"/>
      <c r="H9" s="14"/>
      <c r="I9" s="19"/>
      <c r="J9" s="27"/>
      <c r="K9" s="14"/>
      <c r="L9" s="19"/>
      <c r="N9" s="21">
        <v>22.4</v>
      </c>
      <c r="O9" s="21"/>
    </row>
    <row r="10" spans="1:15" x14ac:dyDescent="0.2">
      <c r="A10" s="19">
        <f t="shared" si="0"/>
        <v>1933</v>
      </c>
      <c r="B10" s="14"/>
      <c r="C10" s="14"/>
      <c r="D10" s="14"/>
      <c r="E10" s="19"/>
      <c r="F10" s="14"/>
      <c r="G10" s="14"/>
      <c r="H10" s="14"/>
      <c r="I10" s="19"/>
      <c r="J10" s="27"/>
      <c r="K10" s="14"/>
      <c r="L10" s="19"/>
      <c r="N10" s="21">
        <v>19.399999999999999</v>
      </c>
      <c r="O10" s="21"/>
    </row>
    <row r="11" spans="1:15" x14ac:dyDescent="0.2">
      <c r="A11" s="19">
        <f t="shared" si="0"/>
        <v>1934</v>
      </c>
      <c r="B11" s="14"/>
      <c r="C11" s="14"/>
      <c r="D11" s="14"/>
      <c r="E11" s="19"/>
      <c r="F11" s="14"/>
      <c r="G11" s="14"/>
      <c r="H11" s="14"/>
      <c r="I11" s="19"/>
      <c r="J11" s="27"/>
      <c r="K11" s="14"/>
      <c r="L11" s="19"/>
      <c r="N11" s="21">
        <v>19.399999999999999</v>
      </c>
      <c r="O11" s="21"/>
    </row>
    <row r="12" spans="1:15" x14ac:dyDescent="0.2">
      <c r="A12" s="19">
        <f t="shared" si="0"/>
        <v>1935</v>
      </c>
      <c r="B12" s="14"/>
      <c r="C12" s="14"/>
      <c r="D12" s="14"/>
      <c r="E12" s="19"/>
      <c r="F12" s="14"/>
      <c r="G12" s="14"/>
      <c r="H12" s="14"/>
      <c r="I12" s="19"/>
      <c r="J12" s="27">
        <v>21891180</v>
      </c>
      <c r="K12" s="14"/>
      <c r="L12" s="19"/>
      <c r="M12" s="21">
        <v>42.9</v>
      </c>
      <c r="N12" s="21">
        <v>19.8</v>
      </c>
      <c r="O12" s="21">
        <f t="shared" si="1"/>
        <v>23.099999999999998</v>
      </c>
    </row>
    <row r="13" spans="1:15" x14ac:dyDescent="0.2">
      <c r="A13" s="19">
        <f t="shared" si="0"/>
        <v>1936</v>
      </c>
      <c r="B13" s="14"/>
      <c r="C13" s="14"/>
      <c r="D13" s="14"/>
      <c r="E13" s="19"/>
      <c r="F13" s="14"/>
      <c r="G13" s="14"/>
      <c r="H13" s="14"/>
      <c r="I13" s="19"/>
      <c r="J13" s="27"/>
      <c r="K13" s="14"/>
      <c r="L13" s="19"/>
      <c r="N13" s="21">
        <v>19.8</v>
      </c>
      <c r="O13" s="21"/>
    </row>
    <row r="14" spans="1:15" x14ac:dyDescent="0.2">
      <c r="A14" s="19">
        <f t="shared" si="0"/>
        <v>1937</v>
      </c>
      <c r="B14" s="14"/>
      <c r="C14" s="14"/>
      <c r="D14" s="14"/>
      <c r="E14" s="19"/>
      <c r="F14" s="14"/>
      <c r="G14" s="14"/>
      <c r="H14" s="14"/>
      <c r="I14" s="19"/>
      <c r="J14" s="27"/>
      <c r="K14" s="14"/>
      <c r="L14" s="19"/>
      <c r="N14" s="21">
        <v>17.8</v>
      </c>
      <c r="O14" s="21"/>
    </row>
    <row r="15" spans="1:15" x14ac:dyDescent="0.2">
      <c r="A15" s="19">
        <f t="shared" si="0"/>
        <v>1938</v>
      </c>
      <c r="B15" s="14"/>
      <c r="C15" s="14"/>
      <c r="D15" s="14"/>
      <c r="E15" s="19"/>
      <c r="F15" s="14"/>
      <c r="G15" s="14"/>
      <c r="H15" s="14"/>
      <c r="I15" s="19"/>
      <c r="J15" s="27"/>
      <c r="K15" s="14"/>
      <c r="L15" s="19"/>
      <c r="N15" s="21">
        <v>17.5</v>
      </c>
      <c r="O15" s="21"/>
    </row>
    <row r="16" spans="1:15" x14ac:dyDescent="0.2">
      <c r="A16" s="19">
        <f t="shared" si="0"/>
        <v>1939</v>
      </c>
      <c r="B16" s="14"/>
      <c r="C16" s="14"/>
      <c r="D16" s="14"/>
      <c r="E16" s="19"/>
      <c r="F16" s="14"/>
      <c r="G16" s="14"/>
      <c r="H16" s="14"/>
      <c r="I16" s="19"/>
      <c r="J16" s="27"/>
      <c r="K16" s="14"/>
      <c r="L16" s="19"/>
      <c r="N16" s="21">
        <v>18.7</v>
      </c>
      <c r="O16" s="21"/>
    </row>
    <row r="17" spans="1:15" x14ac:dyDescent="0.2">
      <c r="A17" s="19">
        <f t="shared" si="0"/>
        <v>1940</v>
      </c>
      <c r="B17" s="14"/>
      <c r="C17" s="14"/>
      <c r="D17" s="14"/>
      <c r="E17" s="19"/>
      <c r="F17" s="14"/>
      <c r="G17" s="14"/>
      <c r="H17" s="14"/>
      <c r="I17" s="19"/>
      <c r="J17" s="27">
        <v>23709057</v>
      </c>
      <c r="K17" s="14"/>
      <c r="L17" s="19"/>
      <c r="M17" s="21">
        <v>42.4</v>
      </c>
      <c r="N17" s="21">
        <v>18</v>
      </c>
      <c r="O17" s="21">
        <f t="shared" si="1"/>
        <v>24.4</v>
      </c>
    </row>
    <row r="18" spans="1:15" x14ac:dyDescent="0.2">
      <c r="A18" s="19">
        <f t="shared" si="0"/>
        <v>1941</v>
      </c>
      <c r="B18" s="14"/>
      <c r="C18" s="14"/>
      <c r="D18" s="14"/>
      <c r="E18" s="19"/>
      <c r="F18" s="14"/>
      <c r="G18" s="14"/>
      <c r="H18" s="14"/>
      <c r="I18" s="19"/>
      <c r="J18" s="27"/>
      <c r="K18" s="14"/>
      <c r="L18" s="19"/>
      <c r="N18" s="21">
        <v>16.8</v>
      </c>
      <c r="O18" s="21"/>
    </row>
    <row r="19" spans="1:15" x14ac:dyDescent="0.2">
      <c r="A19" s="19">
        <f t="shared" si="0"/>
        <v>1942</v>
      </c>
      <c r="B19" s="14"/>
      <c r="C19" s="14"/>
      <c r="D19" s="14"/>
      <c r="E19" s="19"/>
      <c r="F19" s="14"/>
      <c r="G19" s="14"/>
      <c r="H19" s="14"/>
      <c r="I19" s="19"/>
      <c r="J19" s="27"/>
      <c r="K19" s="14"/>
      <c r="L19" s="19"/>
      <c r="N19" s="21">
        <v>18.8</v>
      </c>
      <c r="O19" s="21"/>
    </row>
    <row r="20" spans="1:15" x14ac:dyDescent="0.2">
      <c r="A20" s="19">
        <f t="shared" si="0"/>
        <v>1943</v>
      </c>
      <c r="B20" s="14"/>
      <c r="C20" s="14"/>
      <c r="D20" s="14"/>
      <c r="E20" s="19"/>
      <c r="F20" s="14"/>
      <c r="G20" s="14"/>
      <c r="H20" s="14"/>
      <c r="I20" s="19"/>
      <c r="J20" s="27"/>
      <c r="K20" s="14"/>
      <c r="L20" s="19"/>
      <c r="N20" s="21">
        <v>20.2</v>
      </c>
      <c r="O20" s="21"/>
    </row>
    <row r="21" spans="1:15" x14ac:dyDescent="0.2">
      <c r="A21" s="19">
        <f t="shared" si="0"/>
        <v>1944</v>
      </c>
      <c r="B21" s="14"/>
      <c r="C21" s="14"/>
      <c r="D21" s="14"/>
      <c r="E21" s="19"/>
      <c r="F21" s="14"/>
      <c r="G21" s="14"/>
      <c r="H21" s="14"/>
      <c r="I21" s="19"/>
      <c r="J21" s="27">
        <v>25900142</v>
      </c>
      <c r="K21" s="14"/>
      <c r="L21" s="19"/>
      <c r="M21" s="21">
        <v>43.1</v>
      </c>
      <c r="N21" s="21">
        <v>20.8</v>
      </c>
      <c r="O21" s="21">
        <f t="shared" si="1"/>
        <v>22.3</v>
      </c>
    </row>
    <row r="22" spans="1:15" x14ac:dyDescent="0.2">
      <c r="A22" s="19">
        <f t="shared" si="0"/>
        <v>1945</v>
      </c>
      <c r="B22" s="14"/>
      <c r="C22" s="14"/>
      <c r="D22" s="14"/>
      <c r="E22" s="19"/>
      <c r="F22" s="14"/>
      <c r="G22" s="14"/>
      <c r="H22" s="14"/>
      <c r="I22" s="19"/>
      <c r="J22" s="27"/>
      <c r="K22" s="14"/>
      <c r="L22" s="19"/>
      <c r="O22" s="21"/>
    </row>
    <row r="23" spans="1:15" x14ac:dyDescent="0.2">
      <c r="A23" s="19">
        <f t="shared" si="0"/>
        <v>1946</v>
      </c>
      <c r="B23" s="27">
        <v>173453</v>
      </c>
      <c r="C23" s="14"/>
      <c r="D23" s="14">
        <v>11.9</v>
      </c>
      <c r="E23" s="19"/>
      <c r="F23" s="14"/>
      <c r="G23" s="14"/>
      <c r="H23" s="14"/>
      <c r="I23" s="19"/>
      <c r="J23" s="27"/>
      <c r="K23" s="14"/>
      <c r="L23" s="19"/>
      <c r="O23" s="21"/>
    </row>
    <row r="24" spans="1:15" x14ac:dyDescent="0.2">
      <c r="A24" s="19">
        <f t="shared" si="0"/>
        <v>1947</v>
      </c>
      <c r="B24" s="27">
        <v>178506</v>
      </c>
      <c r="D24" s="14">
        <v>9</v>
      </c>
      <c r="E24" s="19"/>
      <c r="F24" s="14"/>
      <c r="G24" s="14"/>
      <c r="H24" s="14"/>
      <c r="I24" s="19"/>
      <c r="J24" s="27"/>
      <c r="K24" s="14"/>
      <c r="L24" s="19"/>
      <c r="O24" s="21"/>
    </row>
    <row r="25" spans="1:15" x14ac:dyDescent="0.2">
      <c r="A25" s="19">
        <f t="shared" si="0"/>
        <v>1948</v>
      </c>
      <c r="B25" s="27">
        <v>186794</v>
      </c>
      <c r="D25" s="14">
        <v>9.3000000000000007</v>
      </c>
      <c r="E25" s="19"/>
      <c r="F25" s="14"/>
      <c r="G25" s="14"/>
      <c r="H25" s="14"/>
      <c r="I25" s="19"/>
      <c r="J25" s="27"/>
      <c r="K25" s="14"/>
      <c r="L25" s="19"/>
      <c r="O25" s="21"/>
    </row>
    <row r="26" spans="1:15" x14ac:dyDescent="0.2">
      <c r="A26" s="19">
        <f t="shared" si="0"/>
        <v>1949</v>
      </c>
      <c r="B26" s="27">
        <v>20188641</v>
      </c>
      <c r="C26" s="14"/>
      <c r="D26" s="14"/>
      <c r="E26" s="19"/>
      <c r="F26" s="14"/>
      <c r="G26" s="14"/>
      <c r="H26" s="14"/>
      <c r="I26" s="19"/>
      <c r="J26" s="27"/>
      <c r="K26" s="14"/>
      <c r="L26" s="19"/>
      <c r="O26" s="21"/>
    </row>
    <row r="27" spans="1:15" x14ac:dyDescent="0.2">
      <c r="A27" s="16">
        <v>1950</v>
      </c>
      <c r="B27" s="27"/>
      <c r="C27" s="14">
        <v>39.700000000000003</v>
      </c>
      <c r="D27" s="14"/>
      <c r="E27" s="19"/>
      <c r="F27" s="14"/>
      <c r="G27" s="14"/>
      <c r="H27" s="14"/>
      <c r="I27" s="19"/>
      <c r="J27" s="27"/>
      <c r="K27" s="14"/>
      <c r="L27" s="19"/>
      <c r="O27" s="21"/>
    </row>
    <row r="28" spans="1:15" x14ac:dyDescent="0.2">
      <c r="A28" s="16">
        <f>A27+1</f>
        <v>1951</v>
      </c>
      <c r="B28" s="27"/>
      <c r="D28" s="14"/>
      <c r="E28" s="19"/>
      <c r="F28" s="14"/>
      <c r="G28" s="14"/>
      <c r="H28" s="14"/>
      <c r="I28" s="19"/>
      <c r="J28" s="27"/>
      <c r="K28" s="14"/>
      <c r="L28" s="19"/>
      <c r="O28" s="21"/>
    </row>
    <row r="29" spans="1:15" x14ac:dyDescent="0.2">
      <c r="A29" s="16">
        <f t="shared" ref="A29:A92" si="2">A28+1</f>
        <v>1952</v>
      </c>
      <c r="B29" s="27"/>
      <c r="C29" s="14"/>
      <c r="D29" s="14"/>
      <c r="E29" s="19"/>
      <c r="F29" s="14"/>
      <c r="G29" s="14"/>
      <c r="H29" s="14"/>
      <c r="I29" s="19"/>
      <c r="J29" s="27"/>
      <c r="K29" s="14"/>
      <c r="L29" s="19"/>
      <c r="O29" s="21"/>
    </row>
    <row r="30" spans="1:15" x14ac:dyDescent="0.2">
      <c r="A30" s="16">
        <f t="shared" si="2"/>
        <v>1953</v>
      </c>
      <c r="B30" s="27"/>
      <c r="C30" s="14"/>
      <c r="D30" s="14"/>
      <c r="E30" s="19"/>
      <c r="F30" s="14"/>
      <c r="G30" s="14"/>
      <c r="H30" s="14"/>
      <c r="I30" s="19"/>
      <c r="J30" s="27"/>
      <c r="K30" s="14"/>
      <c r="L30" s="19"/>
      <c r="O30" s="21"/>
    </row>
    <row r="31" spans="1:15" x14ac:dyDescent="0.2">
      <c r="A31" s="16">
        <f t="shared" si="2"/>
        <v>1954</v>
      </c>
      <c r="B31" s="27"/>
      <c r="C31" s="14"/>
      <c r="D31" s="14"/>
      <c r="E31" s="19"/>
      <c r="F31" s="14"/>
      <c r="G31" s="14"/>
      <c r="H31" s="14"/>
      <c r="I31" s="19"/>
      <c r="J31" s="27"/>
      <c r="K31" s="14"/>
      <c r="L31" s="19"/>
      <c r="O31" s="21"/>
    </row>
    <row r="32" spans="1:15" x14ac:dyDescent="0.2">
      <c r="A32" s="16">
        <f t="shared" si="2"/>
        <v>1955</v>
      </c>
      <c r="B32" s="27">
        <v>21502386</v>
      </c>
      <c r="C32" s="14">
        <v>44.2</v>
      </c>
      <c r="D32" s="14"/>
      <c r="E32" s="19"/>
      <c r="F32" s="14"/>
      <c r="G32" s="14"/>
      <c r="H32" s="14"/>
      <c r="I32" s="19"/>
      <c r="J32" s="27"/>
      <c r="K32" s="14"/>
      <c r="L32" s="19"/>
      <c r="O32" s="21"/>
    </row>
    <row r="33" spans="1:15" x14ac:dyDescent="0.2">
      <c r="A33" s="16">
        <f t="shared" si="2"/>
        <v>1956</v>
      </c>
      <c r="B33" s="14"/>
      <c r="C33" s="14"/>
      <c r="D33" s="14"/>
      <c r="E33" s="19"/>
      <c r="F33" s="14"/>
      <c r="G33" s="14"/>
      <c r="H33" s="14"/>
      <c r="I33" s="19"/>
      <c r="J33" s="27"/>
      <c r="K33" s="14"/>
      <c r="L33" s="19"/>
      <c r="O33" s="21"/>
    </row>
    <row r="34" spans="1:15" x14ac:dyDescent="0.2">
      <c r="A34" s="16">
        <f t="shared" si="2"/>
        <v>1957</v>
      </c>
      <c r="B34" s="14"/>
      <c r="C34" s="14"/>
      <c r="D34" s="14"/>
      <c r="E34" s="19"/>
      <c r="F34" s="14"/>
      <c r="G34" s="14"/>
      <c r="H34" s="14"/>
      <c r="I34" s="19"/>
      <c r="J34" s="27"/>
      <c r="K34" s="14"/>
      <c r="L34" s="19"/>
      <c r="O34" s="21"/>
    </row>
    <row r="35" spans="1:15" x14ac:dyDescent="0.2">
      <c r="A35" s="16">
        <f t="shared" si="2"/>
        <v>1958</v>
      </c>
      <c r="B35" s="14"/>
      <c r="C35" s="14"/>
      <c r="D35" s="14"/>
      <c r="E35" s="19"/>
      <c r="F35" s="14"/>
      <c r="G35" s="14"/>
      <c r="H35" s="14"/>
      <c r="I35" s="19"/>
      <c r="J35" s="27"/>
      <c r="K35" s="14"/>
      <c r="L35" s="19"/>
      <c r="O35" s="21"/>
    </row>
    <row r="36" spans="1:15" x14ac:dyDescent="0.2">
      <c r="A36" s="16">
        <f t="shared" si="2"/>
        <v>1959</v>
      </c>
      <c r="B36" s="14"/>
      <c r="C36" s="14"/>
      <c r="D36" s="14"/>
      <c r="E36" s="19"/>
      <c r="F36" s="14"/>
      <c r="G36" s="14"/>
      <c r="H36" s="14"/>
      <c r="I36" s="19"/>
      <c r="J36" s="27"/>
      <c r="K36" s="14"/>
      <c r="L36" s="19"/>
      <c r="O36" s="21"/>
    </row>
    <row r="37" spans="1:15" x14ac:dyDescent="0.2">
      <c r="A37" s="16">
        <f t="shared" si="2"/>
        <v>1960</v>
      </c>
      <c r="B37">
        <v>25012374</v>
      </c>
      <c r="C37">
        <v>42.073</v>
      </c>
      <c r="D37">
        <v>12.967000000000001</v>
      </c>
      <c r="E37" s="16">
        <f t="shared" ref="E37:E91" si="3">C37-D37</f>
        <v>29.106000000000002</v>
      </c>
      <c r="F37">
        <v>11722953</v>
      </c>
      <c r="G37">
        <v>34.841999999999999</v>
      </c>
      <c r="H37" cm="1">
        <f t="array" ref="H37:H100">TRANSPOSE('Data Pasting Sheet (KEEP) '!A26:BL26)</f>
        <v>11.151999999999999</v>
      </c>
      <c r="I37" s="16">
        <f t="shared" ref="I37:I68" si="4">S37-H37</f>
        <v>-11.151999999999999</v>
      </c>
      <c r="J37" s="29">
        <f>B37+F37</f>
        <v>36735327</v>
      </c>
      <c r="K37">
        <f>B37/J37</f>
        <v>0.68088066835501426</v>
      </c>
      <c r="L37" s="16">
        <f>F37/J37</f>
        <v>0.31911933164498579</v>
      </c>
      <c r="M37" s="21">
        <f t="shared" ref="M37:M68" si="5">(C37*K37)+(S37*L37)</f>
        <v>28.646692359700516</v>
      </c>
      <c r="N37" s="21">
        <f>(D37*K37)+(H37*L37)</f>
        <v>12.387798413064351</v>
      </c>
      <c r="O37" s="22">
        <f>M37-N37</f>
        <v>16.258893946636164</v>
      </c>
    </row>
    <row r="38" spans="1:15" x14ac:dyDescent="0.2">
      <c r="A38" s="16">
        <f t="shared" si="2"/>
        <v>1961</v>
      </c>
      <c r="B38">
        <v>25765673</v>
      </c>
      <c r="C38">
        <v>40.850999999999999</v>
      </c>
      <c r="D38">
        <v>12.512</v>
      </c>
      <c r="E38" s="16">
        <f t="shared" si="3"/>
        <v>28.338999999999999</v>
      </c>
      <c r="F38">
        <v>11990713</v>
      </c>
      <c r="G38">
        <v>32.308999999999997</v>
      </c>
      <c r="H38">
        <v>10.81</v>
      </c>
      <c r="I38" s="16">
        <f t="shared" si="4"/>
        <v>-10.81</v>
      </c>
      <c r="J38" s="29">
        <f t="shared" ref="J38:J100" si="6">B38+F38</f>
        <v>37756386</v>
      </c>
      <c r="K38">
        <f t="shared" ref="K38:K100" si="7">B38/J38</f>
        <v>0.68241894232143929</v>
      </c>
      <c r="L38" s="16">
        <f t="shared" ref="L38:L100" si="8">F38/J38</f>
        <v>0.31758105767856065</v>
      </c>
      <c r="M38" s="21">
        <f t="shared" si="5"/>
        <v>27.877496212773117</v>
      </c>
      <c r="N38" s="21">
        <f t="shared" ref="N38:N100" si="9">(D38*K38)+(H38*L38)</f>
        <v>11.97147703983109</v>
      </c>
      <c r="O38" s="22">
        <f t="shared" ref="O38:O100" si="10">M38-N38</f>
        <v>15.906019172942027</v>
      </c>
    </row>
    <row r="39" spans="1:15" x14ac:dyDescent="0.2">
      <c r="A39" s="16">
        <f t="shared" si="2"/>
        <v>1962</v>
      </c>
      <c r="B39">
        <v>26513030</v>
      </c>
      <c r="C39">
        <v>38.973999999999997</v>
      </c>
      <c r="D39">
        <v>12.097</v>
      </c>
      <c r="E39" s="16">
        <f t="shared" si="3"/>
        <v>26.876999999999995</v>
      </c>
      <c r="F39">
        <v>12262882</v>
      </c>
      <c r="G39">
        <v>33.987000000000002</v>
      </c>
      <c r="H39">
        <v>10.621</v>
      </c>
      <c r="I39" s="16">
        <f t="shared" si="4"/>
        <v>-10.621</v>
      </c>
      <c r="J39" s="29">
        <f t="shared" si="6"/>
        <v>38775912</v>
      </c>
      <c r="K39">
        <f t="shared" si="7"/>
        <v>0.68375000438416511</v>
      </c>
      <c r="L39" s="16">
        <f t="shared" si="8"/>
        <v>0.31624999561583489</v>
      </c>
      <c r="M39" s="21">
        <f t="shared" si="5"/>
        <v>26.648472670868451</v>
      </c>
      <c r="N39" s="21">
        <f t="shared" si="9"/>
        <v>11.630215006471026</v>
      </c>
      <c r="O39" s="22">
        <f t="shared" si="10"/>
        <v>15.018257664397424</v>
      </c>
    </row>
    <row r="40" spans="1:15" x14ac:dyDescent="0.2">
      <c r="A40" s="16">
        <f t="shared" si="2"/>
        <v>1963</v>
      </c>
      <c r="B40">
        <v>27261747</v>
      </c>
      <c r="C40">
        <v>37.194000000000003</v>
      </c>
      <c r="D40">
        <v>12.037000000000001</v>
      </c>
      <c r="E40" s="16">
        <f t="shared" si="3"/>
        <v>25.157000000000004</v>
      </c>
      <c r="F40">
        <v>12567057</v>
      </c>
      <c r="G40">
        <v>36.134</v>
      </c>
      <c r="H40">
        <v>10.526999999999999</v>
      </c>
      <c r="I40" s="16">
        <f t="shared" si="4"/>
        <v>-10.526999999999999</v>
      </c>
      <c r="J40" s="29">
        <f t="shared" si="6"/>
        <v>39828804</v>
      </c>
      <c r="K40">
        <f t="shared" si="7"/>
        <v>0.68447315164171141</v>
      </c>
      <c r="L40" s="16">
        <f t="shared" si="8"/>
        <v>0.31552684835828865</v>
      </c>
      <c r="M40" s="21">
        <f t="shared" si="5"/>
        <v>25.458294402161815</v>
      </c>
      <c r="N40" s="21">
        <f t="shared" si="9"/>
        <v>11.560554458978984</v>
      </c>
      <c r="O40" s="22">
        <f t="shared" si="10"/>
        <v>13.897739943182831</v>
      </c>
    </row>
    <row r="41" spans="1:15" x14ac:dyDescent="0.2">
      <c r="A41" s="16">
        <f t="shared" si="2"/>
        <v>1964</v>
      </c>
      <c r="B41">
        <v>27984155</v>
      </c>
      <c r="C41">
        <v>35.173999999999999</v>
      </c>
      <c r="D41">
        <v>11.75</v>
      </c>
      <c r="E41" s="16">
        <f t="shared" si="3"/>
        <v>23.423999999999999</v>
      </c>
      <c r="F41">
        <v>12889770</v>
      </c>
      <c r="G41">
        <v>35.393999999999998</v>
      </c>
      <c r="H41">
        <v>10.287000000000001</v>
      </c>
      <c r="I41" s="16">
        <f t="shared" si="4"/>
        <v>-10.287000000000001</v>
      </c>
      <c r="J41" s="29">
        <f t="shared" si="6"/>
        <v>40873925</v>
      </c>
      <c r="K41">
        <f t="shared" si="7"/>
        <v>0.68464565123119447</v>
      </c>
      <c r="L41" s="16">
        <f t="shared" si="8"/>
        <v>0.31535434876880553</v>
      </c>
      <c r="M41" s="21">
        <f t="shared" si="5"/>
        <v>24.081726136406033</v>
      </c>
      <c r="N41" s="21">
        <f t="shared" si="9"/>
        <v>11.288636587751238</v>
      </c>
      <c r="O41" s="22">
        <f t="shared" si="10"/>
        <v>12.793089548654795</v>
      </c>
    </row>
    <row r="42" spans="1:15" x14ac:dyDescent="0.2">
      <c r="A42" s="16">
        <f t="shared" si="2"/>
        <v>1965</v>
      </c>
      <c r="B42">
        <v>28704674</v>
      </c>
      <c r="C42">
        <v>33.753999999999998</v>
      </c>
      <c r="D42">
        <v>11.42</v>
      </c>
      <c r="E42" s="16">
        <f t="shared" si="3"/>
        <v>22.333999999999996</v>
      </c>
      <c r="F42">
        <v>13219369</v>
      </c>
      <c r="G42">
        <v>35.396000000000001</v>
      </c>
      <c r="H42">
        <v>10.01</v>
      </c>
      <c r="I42" s="16">
        <f t="shared" si="4"/>
        <v>-10.01</v>
      </c>
      <c r="J42" s="29">
        <f t="shared" si="6"/>
        <v>41924043</v>
      </c>
      <c r="K42">
        <f t="shared" si="7"/>
        <v>0.68468286801442313</v>
      </c>
      <c r="L42" s="16">
        <f t="shared" si="8"/>
        <v>0.31531713198557687</v>
      </c>
      <c r="M42" s="21">
        <f t="shared" si="5"/>
        <v>23.110785526958836</v>
      </c>
      <c r="N42" s="21">
        <f t="shared" si="9"/>
        <v>10.975402843900337</v>
      </c>
      <c r="O42" s="22">
        <f t="shared" si="10"/>
        <v>12.135382683058499</v>
      </c>
    </row>
    <row r="43" spans="1:15" x14ac:dyDescent="0.2">
      <c r="A43" s="16">
        <f t="shared" si="2"/>
        <v>1966</v>
      </c>
      <c r="B43">
        <v>29435571</v>
      </c>
      <c r="C43">
        <v>32.786999999999999</v>
      </c>
      <c r="D43">
        <v>11.603999999999999</v>
      </c>
      <c r="E43" s="16">
        <f t="shared" si="3"/>
        <v>21.183</v>
      </c>
      <c r="F43">
        <v>13569094</v>
      </c>
      <c r="G43">
        <v>36.594000000000001</v>
      </c>
      <c r="H43">
        <v>9.7769999999999992</v>
      </c>
      <c r="I43" s="16">
        <f t="shared" si="4"/>
        <v>-9.7769999999999992</v>
      </c>
      <c r="J43" s="29">
        <f t="shared" si="6"/>
        <v>43004665</v>
      </c>
      <c r="K43">
        <f t="shared" si="7"/>
        <v>0.68447390533096819</v>
      </c>
      <c r="L43" s="16">
        <f t="shared" si="8"/>
        <v>0.31552609466903181</v>
      </c>
      <c r="M43" s="21">
        <f t="shared" si="5"/>
        <v>22.441845934086455</v>
      </c>
      <c r="N43" s="21">
        <f t="shared" si="9"/>
        <v>11.027533825039679</v>
      </c>
      <c r="O43" s="22">
        <f t="shared" si="10"/>
        <v>11.414312109046776</v>
      </c>
    </row>
    <row r="44" spans="1:15" x14ac:dyDescent="0.2">
      <c r="A44" s="16">
        <f t="shared" si="2"/>
        <v>1967</v>
      </c>
      <c r="B44">
        <v>30130983</v>
      </c>
      <c r="C44">
        <v>31.529</v>
      </c>
      <c r="D44">
        <v>8.5570000000000004</v>
      </c>
      <c r="E44" s="16">
        <f t="shared" si="3"/>
        <v>22.972000000000001</v>
      </c>
      <c r="F44">
        <v>13958350</v>
      </c>
      <c r="G44">
        <v>39.307000000000002</v>
      </c>
      <c r="H44">
        <v>9.6020000000000003</v>
      </c>
      <c r="I44" s="16">
        <f t="shared" si="4"/>
        <v>-9.6020000000000003</v>
      </c>
      <c r="J44" s="29">
        <f t="shared" si="6"/>
        <v>44089333</v>
      </c>
      <c r="K44">
        <f t="shared" si="7"/>
        <v>0.68340754894160005</v>
      </c>
      <c r="L44" s="16">
        <f t="shared" si="8"/>
        <v>0.3165924510584</v>
      </c>
      <c r="M44" s="21">
        <f t="shared" si="5"/>
        <v>21.547156610579709</v>
      </c>
      <c r="N44" s="21">
        <f t="shared" si="9"/>
        <v>8.8878391113560298</v>
      </c>
      <c r="O44" s="22">
        <f t="shared" si="10"/>
        <v>12.659317499223679</v>
      </c>
    </row>
    <row r="45" spans="1:15" x14ac:dyDescent="0.2">
      <c r="A45" s="16">
        <f t="shared" si="2"/>
        <v>1968</v>
      </c>
      <c r="B45">
        <v>30838302</v>
      </c>
      <c r="C45">
        <v>30.742999999999999</v>
      </c>
      <c r="D45">
        <v>8.5470000000000006</v>
      </c>
      <c r="E45" s="16">
        <f t="shared" si="3"/>
        <v>22.195999999999998</v>
      </c>
      <c r="F45">
        <v>14365596</v>
      </c>
      <c r="G45">
        <v>37.054000000000002</v>
      </c>
      <c r="H45">
        <v>9.2210000000000001</v>
      </c>
      <c r="I45" s="16">
        <f t="shared" si="4"/>
        <v>-9.2210000000000001</v>
      </c>
      <c r="J45" s="29">
        <f t="shared" si="6"/>
        <v>45203898</v>
      </c>
      <c r="K45">
        <f t="shared" si="7"/>
        <v>0.68220448599366368</v>
      </c>
      <c r="L45" s="16">
        <f t="shared" si="8"/>
        <v>0.31779551400633638</v>
      </c>
      <c r="M45" s="21">
        <f t="shared" si="5"/>
        <v>20.973012512903203</v>
      </c>
      <c r="N45" s="21">
        <f t="shared" si="9"/>
        <v>8.7611941764402719</v>
      </c>
      <c r="O45" s="22">
        <f t="shared" si="10"/>
        <v>12.211818336462931</v>
      </c>
    </row>
    <row r="46" spans="1:15" x14ac:dyDescent="0.2">
      <c r="A46" s="16">
        <f t="shared" si="2"/>
        <v>1969</v>
      </c>
      <c r="B46">
        <v>31544266</v>
      </c>
      <c r="C46">
        <v>30.318000000000001</v>
      </c>
      <c r="D46">
        <v>8.31</v>
      </c>
      <c r="E46" s="16">
        <f t="shared" si="3"/>
        <v>22.008000000000003</v>
      </c>
      <c r="F46">
        <v>14767615</v>
      </c>
      <c r="G46">
        <v>36.220999999999997</v>
      </c>
      <c r="H46">
        <v>8.8510000000000009</v>
      </c>
      <c r="I46" s="16">
        <f t="shared" si="4"/>
        <v>-8.8510000000000009</v>
      </c>
      <c r="J46" s="29">
        <f t="shared" si="6"/>
        <v>46311881</v>
      </c>
      <c r="K46">
        <f t="shared" si="7"/>
        <v>0.68112685813819573</v>
      </c>
      <c r="L46" s="16">
        <f t="shared" si="8"/>
        <v>0.31887314186180432</v>
      </c>
      <c r="M46" s="21">
        <f t="shared" si="5"/>
        <v>20.65040408503382</v>
      </c>
      <c r="N46" s="21">
        <f t="shared" si="9"/>
        <v>8.4825103697472386</v>
      </c>
      <c r="O46" s="22">
        <f t="shared" si="10"/>
        <v>12.167893715286581</v>
      </c>
    </row>
    <row r="47" spans="1:15" x14ac:dyDescent="0.2">
      <c r="A47" s="16">
        <f t="shared" si="2"/>
        <v>1970</v>
      </c>
      <c r="B47">
        <v>32240827</v>
      </c>
      <c r="C47">
        <v>31.2</v>
      </c>
      <c r="D47">
        <v>8</v>
      </c>
      <c r="E47" s="16">
        <f t="shared" si="3"/>
        <v>23.2</v>
      </c>
      <c r="F47">
        <v>15172775</v>
      </c>
      <c r="G47">
        <v>35.277000000000001</v>
      </c>
      <c r="H47">
        <v>8.51</v>
      </c>
      <c r="I47" s="16">
        <f t="shared" si="4"/>
        <v>-8.51</v>
      </c>
      <c r="J47" s="29">
        <f t="shared" si="6"/>
        <v>47413602</v>
      </c>
      <c r="K47">
        <f t="shared" si="7"/>
        <v>0.67999109200773233</v>
      </c>
      <c r="L47" s="16">
        <f t="shared" si="8"/>
        <v>0.32000890799226772</v>
      </c>
      <c r="M47" s="21">
        <f t="shared" si="5"/>
        <v>21.215722070641249</v>
      </c>
      <c r="N47" s="21">
        <f t="shared" si="9"/>
        <v>8.1632045430760574</v>
      </c>
      <c r="O47" s="22">
        <f t="shared" si="10"/>
        <v>13.052517527565191</v>
      </c>
    </row>
    <row r="48" spans="1:15" x14ac:dyDescent="0.2">
      <c r="A48" s="16">
        <f t="shared" si="2"/>
        <v>1971</v>
      </c>
      <c r="B48">
        <v>32882704</v>
      </c>
      <c r="C48">
        <v>31.2</v>
      </c>
      <c r="D48">
        <v>7.2</v>
      </c>
      <c r="E48" s="16">
        <f t="shared" si="3"/>
        <v>24</v>
      </c>
      <c r="F48">
        <v>15572457</v>
      </c>
      <c r="G48">
        <v>33.405999999999999</v>
      </c>
      <c r="H48">
        <v>8.1549999999999994</v>
      </c>
      <c r="I48" s="16">
        <f t="shared" si="4"/>
        <v>-8.1549999999999994</v>
      </c>
      <c r="J48" s="29">
        <f t="shared" si="6"/>
        <v>48455161</v>
      </c>
      <c r="K48">
        <f t="shared" si="7"/>
        <v>0.67862129278654137</v>
      </c>
      <c r="L48" s="16">
        <f t="shared" si="8"/>
        <v>0.32137870721345863</v>
      </c>
      <c r="M48" s="21">
        <f t="shared" si="5"/>
        <v>21.172984334940089</v>
      </c>
      <c r="N48" s="21">
        <f t="shared" si="9"/>
        <v>7.5069166653888537</v>
      </c>
      <c r="O48" s="22">
        <f t="shared" si="10"/>
        <v>13.666067669551236</v>
      </c>
    </row>
    <row r="49" spans="1:15" x14ac:dyDescent="0.2">
      <c r="A49" s="16">
        <f t="shared" si="2"/>
        <v>1972</v>
      </c>
      <c r="B49">
        <v>33505406</v>
      </c>
      <c r="C49">
        <v>28.4</v>
      </c>
      <c r="D49">
        <v>6.3</v>
      </c>
      <c r="E49" s="16">
        <f t="shared" si="3"/>
        <v>22.099999999999998</v>
      </c>
      <c r="F49">
        <v>15975069</v>
      </c>
      <c r="G49">
        <v>33.680999999999997</v>
      </c>
      <c r="H49">
        <v>7.891</v>
      </c>
      <c r="I49" s="16">
        <f t="shared" si="4"/>
        <v>-7.891</v>
      </c>
      <c r="J49" s="29">
        <f t="shared" si="6"/>
        <v>49480475</v>
      </c>
      <c r="K49">
        <f t="shared" si="7"/>
        <v>0.67714398457169211</v>
      </c>
      <c r="L49" s="16">
        <f t="shared" si="8"/>
        <v>0.32285601542830783</v>
      </c>
      <c r="M49" s="21">
        <f t="shared" si="5"/>
        <v>19.230889161836053</v>
      </c>
      <c r="N49" s="21">
        <f t="shared" si="9"/>
        <v>6.8136639205464373</v>
      </c>
      <c r="O49" s="22">
        <f t="shared" si="10"/>
        <v>12.417225241289616</v>
      </c>
    </row>
    <row r="50" spans="1:15" x14ac:dyDescent="0.2">
      <c r="A50" s="16">
        <f t="shared" si="2"/>
        <v>1973</v>
      </c>
      <c r="B50">
        <v>34103149</v>
      </c>
      <c r="C50">
        <v>28.3</v>
      </c>
      <c r="D50">
        <v>7.8</v>
      </c>
      <c r="E50" s="16">
        <f t="shared" si="3"/>
        <v>20.5</v>
      </c>
      <c r="F50">
        <v>16350367</v>
      </c>
      <c r="G50">
        <v>28.18</v>
      </c>
      <c r="H50">
        <v>7.4710000000000001</v>
      </c>
      <c r="I50" s="16">
        <f t="shared" si="4"/>
        <v>-7.4710000000000001</v>
      </c>
      <c r="J50" s="29">
        <f t="shared" si="6"/>
        <v>50453516</v>
      </c>
      <c r="K50">
        <f t="shared" si="7"/>
        <v>0.67593205991828198</v>
      </c>
      <c r="L50" s="16">
        <f t="shared" si="8"/>
        <v>0.32406794008171796</v>
      </c>
      <c r="M50" s="21">
        <f t="shared" si="5"/>
        <v>19.128877295687381</v>
      </c>
      <c r="N50" s="21">
        <f t="shared" si="9"/>
        <v>7.6933816477131147</v>
      </c>
      <c r="O50" s="22">
        <f t="shared" si="10"/>
        <v>11.435495647974268</v>
      </c>
    </row>
    <row r="51" spans="1:15" x14ac:dyDescent="0.2">
      <c r="A51" s="16">
        <f t="shared" si="2"/>
        <v>1974</v>
      </c>
      <c r="B51">
        <v>34692266</v>
      </c>
      <c r="C51">
        <v>26.6</v>
      </c>
      <c r="D51">
        <v>7.2</v>
      </c>
      <c r="E51" s="16">
        <f t="shared" si="3"/>
        <v>19.400000000000002</v>
      </c>
      <c r="F51">
        <v>16673121</v>
      </c>
      <c r="G51">
        <v>25.562000000000001</v>
      </c>
      <c r="H51">
        <v>7.1550000000000002</v>
      </c>
      <c r="I51" s="16">
        <f t="shared" si="4"/>
        <v>-7.1550000000000002</v>
      </c>
      <c r="J51" s="29">
        <f t="shared" si="6"/>
        <v>51365387</v>
      </c>
      <c r="K51">
        <f t="shared" si="7"/>
        <v>0.67540162794840819</v>
      </c>
      <c r="L51" s="16">
        <f t="shared" si="8"/>
        <v>0.32459837205159187</v>
      </c>
      <c r="M51" s="21">
        <f t="shared" si="5"/>
        <v>17.96568330342766</v>
      </c>
      <c r="N51" s="21">
        <f t="shared" si="9"/>
        <v>7.1853930732576794</v>
      </c>
      <c r="O51" s="22">
        <f t="shared" si="10"/>
        <v>10.780290230169982</v>
      </c>
    </row>
    <row r="52" spans="1:15" x14ac:dyDescent="0.2">
      <c r="A52" s="16">
        <f t="shared" si="2"/>
        <v>1975</v>
      </c>
      <c r="B52">
        <v>35280725</v>
      </c>
      <c r="C52">
        <v>24.8</v>
      </c>
      <c r="D52">
        <v>7.7</v>
      </c>
      <c r="E52" s="16">
        <f t="shared" si="3"/>
        <v>17.100000000000001</v>
      </c>
      <c r="F52">
        <v>16971055</v>
      </c>
      <c r="G52">
        <v>23.945</v>
      </c>
      <c r="H52">
        <v>6.9180000000000001</v>
      </c>
      <c r="I52" s="16">
        <f t="shared" si="4"/>
        <v>-6.9180000000000001</v>
      </c>
      <c r="J52" s="29">
        <f t="shared" si="6"/>
        <v>52251780</v>
      </c>
      <c r="K52">
        <f t="shared" si="7"/>
        <v>0.67520618436348001</v>
      </c>
      <c r="L52" s="16">
        <f t="shared" si="8"/>
        <v>0.32479381563651993</v>
      </c>
      <c r="M52" s="21">
        <f t="shared" si="5"/>
        <v>16.745113372214306</v>
      </c>
      <c r="N52" s="21">
        <f t="shared" si="9"/>
        <v>7.4460112361722413</v>
      </c>
      <c r="O52" s="22">
        <f t="shared" si="10"/>
        <v>9.2991021360420643</v>
      </c>
    </row>
    <row r="53" spans="1:15" x14ac:dyDescent="0.2">
      <c r="A53" s="16">
        <f t="shared" si="2"/>
        <v>1976</v>
      </c>
      <c r="B53">
        <v>35848523</v>
      </c>
      <c r="C53">
        <v>22.2</v>
      </c>
      <c r="D53">
        <v>7.4</v>
      </c>
      <c r="E53" s="16">
        <f t="shared" si="3"/>
        <v>14.799999999999999</v>
      </c>
      <c r="F53">
        <v>17243450</v>
      </c>
      <c r="G53">
        <v>21.513000000000002</v>
      </c>
      <c r="H53">
        <v>6.6760000000000002</v>
      </c>
      <c r="I53" s="16">
        <f t="shared" si="4"/>
        <v>-6.6760000000000002</v>
      </c>
      <c r="J53" s="29">
        <f t="shared" si="6"/>
        <v>53091973</v>
      </c>
      <c r="K53">
        <f t="shared" si="7"/>
        <v>0.6752154982072337</v>
      </c>
      <c r="L53" s="16">
        <f t="shared" si="8"/>
        <v>0.3247845017927663</v>
      </c>
      <c r="M53" s="21">
        <f t="shared" si="5"/>
        <v>14.989784060200588</v>
      </c>
      <c r="N53" s="21">
        <f t="shared" si="9"/>
        <v>7.1648560207020378</v>
      </c>
      <c r="O53" s="22">
        <f t="shared" si="10"/>
        <v>7.8249280394985501</v>
      </c>
    </row>
    <row r="54" spans="1:15" x14ac:dyDescent="0.2">
      <c r="A54" s="16">
        <f t="shared" si="2"/>
        <v>1977</v>
      </c>
      <c r="B54">
        <v>36411795</v>
      </c>
      <c r="C54">
        <v>22.7</v>
      </c>
      <c r="D54">
        <v>6.8</v>
      </c>
      <c r="E54" s="16">
        <f t="shared" si="3"/>
        <v>15.899999999999999</v>
      </c>
      <c r="F54">
        <v>17492798</v>
      </c>
      <c r="G54">
        <v>20.370999999999999</v>
      </c>
      <c r="H54">
        <v>6.4870000000000001</v>
      </c>
      <c r="I54" s="16">
        <f t="shared" si="4"/>
        <v>-6.4870000000000001</v>
      </c>
      <c r="J54" s="29">
        <f t="shared" si="6"/>
        <v>53904593</v>
      </c>
      <c r="K54">
        <f t="shared" si="7"/>
        <v>0.67548594606771262</v>
      </c>
      <c r="L54" s="16">
        <f t="shared" si="8"/>
        <v>0.32451405393228738</v>
      </c>
      <c r="M54" s="21">
        <f t="shared" si="5"/>
        <v>15.333530975737077</v>
      </c>
      <c r="N54" s="21">
        <f t="shared" si="9"/>
        <v>6.6984271011191945</v>
      </c>
      <c r="O54" s="22">
        <f t="shared" si="10"/>
        <v>8.635103874617883</v>
      </c>
    </row>
    <row r="55" spans="1:15" x14ac:dyDescent="0.2">
      <c r="A55" s="16">
        <f t="shared" si="2"/>
        <v>1978</v>
      </c>
      <c r="B55">
        <v>36969185</v>
      </c>
      <c r="C55">
        <v>20.3</v>
      </c>
      <c r="D55">
        <v>6.8</v>
      </c>
      <c r="E55" s="16">
        <f t="shared" si="3"/>
        <v>13.5</v>
      </c>
      <c r="F55">
        <v>17735995</v>
      </c>
      <c r="G55">
        <v>20.07</v>
      </c>
      <c r="H55">
        <v>6.3390000000000004</v>
      </c>
      <c r="I55" s="16">
        <f t="shared" si="4"/>
        <v>-6.3390000000000004</v>
      </c>
      <c r="J55" s="29">
        <f t="shared" si="6"/>
        <v>54705180</v>
      </c>
      <c r="K55">
        <f t="shared" si="7"/>
        <v>0.67578947734017147</v>
      </c>
      <c r="L55" s="16">
        <f t="shared" si="8"/>
        <v>0.32421052265982858</v>
      </c>
      <c r="M55" s="21">
        <f t="shared" si="5"/>
        <v>13.718526390005481</v>
      </c>
      <c r="N55" s="21">
        <f t="shared" si="9"/>
        <v>6.6505389490538196</v>
      </c>
      <c r="O55" s="22">
        <f t="shared" si="10"/>
        <v>7.0679874409516614</v>
      </c>
    </row>
    <row r="56" spans="1:15" x14ac:dyDescent="0.2">
      <c r="A56" s="16">
        <f t="shared" si="2"/>
        <v>1979</v>
      </c>
      <c r="B56">
        <v>37534236</v>
      </c>
      <c r="C56">
        <v>23</v>
      </c>
      <c r="D56">
        <v>6.4</v>
      </c>
      <c r="E56" s="16">
        <f t="shared" si="3"/>
        <v>16.600000000000001</v>
      </c>
      <c r="F56">
        <v>17983470</v>
      </c>
      <c r="G56">
        <v>20.202999999999999</v>
      </c>
      <c r="H56">
        <v>6.2229999999999999</v>
      </c>
      <c r="I56" s="16">
        <f t="shared" si="4"/>
        <v>-6.2229999999999999</v>
      </c>
      <c r="J56" s="29">
        <f t="shared" si="6"/>
        <v>55517706</v>
      </c>
      <c r="K56">
        <f t="shared" si="7"/>
        <v>0.67607685375184634</v>
      </c>
      <c r="L56" s="16">
        <f t="shared" si="8"/>
        <v>0.32392314624815371</v>
      </c>
      <c r="M56" s="21">
        <f t="shared" si="5"/>
        <v>15.549767636292465</v>
      </c>
      <c r="N56" s="21">
        <f t="shared" si="9"/>
        <v>6.3426656031140771</v>
      </c>
      <c r="O56" s="22">
        <f t="shared" si="10"/>
        <v>9.207102033178387</v>
      </c>
    </row>
    <row r="57" spans="1:15" x14ac:dyDescent="0.2">
      <c r="A57" s="16">
        <f t="shared" si="2"/>
        <v>1980</v>
      </c>
      <c r="B57">
        <v>38123775</v>
      </c>
      <c r="C57">
        <v>22.6</v>
      </c>
      <c r="D57">
        <v>7.3</v>
      </c>
      <c r="E57" s="16">
        <f t="shared" si="3"/>
        <v>15.3</v>
      </c>
      <c r="F57">
        <v>18236786</v>
      </c>
      <c r="G57">
        <v>20.099</v>
      </c>
      <c r="H57">
        <v>6.1050000000000004</v>
      </c>
      <c r="I57" s="16">
        <f t="shared" si="4"/>
        <v>-6.1050000000000004</v>
      </c>
      <c r="J57" s="29">
        <f t="shared" si="6"/>
        <v>56360561</v>
      </c>
      <c r="K57">
        <f t="shared" si="7"/>
        <v>0.67642646424332076</v>
      </c>
      <c r="L57" s="16">
        <f t="shared" si="8"/>
        <v>0.32357353575667919</v>
      </c>
      <c r="M57" s="21">
        <f t="shared" si="5"/>
        <v>15.28723809189905</v>
      </c>
      <c r="N57" s="21">
        <f t="shared" si="9"/>
        <v>6.9133296247707685</v>
      </c>
      <c r="O57" s="22">
        <f t="shared" si="10"/>
        <v>8.3739084671282811</v>
      </c>
    </row>
    <row r="58" spans="1:15" x14ac:dyDescent="0.2">
      <c r="A58" s="16">
        <f t="shared" si="2"/>
        <v>1981</v>
      </c>
      <c r="B58">
        <v>38723248</v>
      </c>
      <c r="C58">
        <v>22.4</v>
      </c>
      <c r="D58">
        <v>6.1</v>
      </c>
      <c r="E58" s="16">
        <f t="shared" si="3"/>
        <v>16.299999999999997</v>
      </c>
      <c r="F58">
        <v>18501295</v>
      </c>
      <c r="G58">
        <v>20.815999999999999</v>
      </c>
      <c r="H58">
        <v>6.0170000000000003</v>
      </c>
      <c r="I58" s="16">
        <f t="shared" si="4"/>
        <v>-6.0170000000000003</v>
      </c>
      <c r="J58" s="29">
        <f t="shared" si="6"/>
        <v>57224543</v>
      </c>
      <c r="K58">
        <f t="shared" si="7"/>
        <v>0.67668951065279803</v>
      </c>
      <c r="L58" s="16">
        <f t="shared" si="8"/>
        <v>0.32331048934720197</v>
      </c>
      <c r="M58" s="21">
        <f t="shared" si="5"/>
        <v>15.157845038622675</v>
      </c>
      <c r="N58" s="21">
        <f t="shared" si="9"/>
        <v>6.0731652293841822</v>
      </c>
      <c r="O58" s="22">
        <f t="shared" si="10"/>
        <v>9.0846798092384926</v>
      </c>
    </row>
    <row r="59" spans="1:15" x14ac:dyDescent="0.2">
      <c r="A59" s="16">
        <f t="shared" si="2"/>
        <v>1982</v>
      </c>
      <c r="B59">
        <v>39326352</v>
      </c>
      <c r="C59">
        <v>21.6</v>
      </c>
      <c r="D59">
        <v>6.2</v>
      </c>
      <c r="E59" s="16">
        <f t="shared" si="3"/>
        <v>15.400000000000002</v>
      </c>
      <c r="F59">
        <v>18776357</v>
      </c>
      <c r="G59">
        <v>20.635000000000002</v>
      </c>
      <c r="H59">
        <v>5.9180000000000001</v>
      </c>
      <c r="I59" s="16">
        <f t="shared" si="4"/>
        <v>-5.9180000000000001</v>
      </c>
      <c r="J59" s="29">
        <f t="shared" si="6"/>
        <v>58102709</v>
      </c>
      <c r="K59">
        <f t="shared" si="7"/>
        <v>0.67684196962313758</v>
      </c>
      <c r="L59" s="16">
        <f t="shared" si="8"/>
        <v>0.32315803037686247</v>
      </c>
      <c r="M59" s="21">
        <f t="shared" si="5"/>
        <v>14.619786543859773</v>
      </c>
      <c r="N59" s="21">
        <f t="shared" si="9"/>
        <v>6.108869435433725</v>
      </c>
      <c r="O59" s="22">
        <f t="shared" si="10"/>
        <v>8.5109171084260478</v>
      </c>
    </row>
    <row r="60" spans="1:15" x14ac:dyDescent="0.2">
      <c r="A60" s="16">
        <f t="shared" si="2"/>
        <v>1983</v>
      </c>
      <c r="B60">
        <v>39910403</v>
      </c>
      <c r="C60">
        <v>19.3</v>
      </c>
      <c r="D60">
        <v>6.4</v>
      </c>
      <c r="E60" s="16">
        <f t="shared" si="3"/>
        <v>12.9</v>
      </c>
      <c r="F60">
        <v>19054034</v>
      </c>
      <c r="G60">
        <v>20.475999999999999</v>
      </c>
      <c r="H60">
        <v>5.8310000000000004</v>
      </c>
      <c r="I60" s="16">
        <f t="shared" si="4"/>
        <v>-5.8310000000000004</v>
      </c>
      <c r="J60" s="29">
        <f t="shared" si="6"/>
        <v>58964437</v>
      </c>
      <c r="K60">
        <f t="shared" si="7"/>
        <v>0.67685549172630954</v>
      </c>
      <c r="L60" s="16">
        <f t="shared" si="8"/>
        <v>0.32314450827369046</v>
      </c>
      <c r="M60" s="21">
        <f t="shared" si="5"/>
        <v>13.063310990317774</v>
      </c>
      <c r="N60" s="21">
        <f t="shared" si="9"/>
        <v>6.2161307747922709</v>
      </c>
      <c r="O60" s="22">
        <f t="shared" si="10"/>
        <v>6.847180215525503</v>
      </c>
    </row>
    <row r="61" spans="1:15" x14ac:dyDescent="0.2">
      <c r="A61" s="16">
        <f t="shared" si="2"/>
        <v>1984</v>
      </c>
      <c r="B61">
        <v>40405956</v>
      </c>
      <c r="C61">
        <v>16.7</v>
      </c>
      <c r="D61">
        <v>5.9</v>
      </c>
      <c r="E61" s="16">
        <f t="shared" si="3"/>
        <v>10.799999999999999</v>
      </c>
      <c r="F61">
        <v>19335043</v>
      </c>
      <c r="G61">
        <v>20.399999999999999</v>
      </c>
      <c r="H61">
        <v>5.7640000000000002</v>
      </c>
      <c r="I61" s="16">
        <f t="shared" si="4"/>
        <v>-5.7640000000000002</v>
      </c>
      <c r="J61" s="29">
        <f t="shared" si="6"/>
        <v>59740999</v>
      </c>
      <c r="K61">
        <f t="shared" si="7"/>
        <v>0.67635219826169968</v>
      </c>
      <c r="L61" s="16">
        <f t="shared" si="8"/>
        <v>0.32364780173830038</v>
      </c>
      <c r="M61" s="21">
        <f t="shared" si="5"/>
        <v>11.295081710970384</v>
      </c>
      <c r="N61" s="21">
        <f t="shared" si="9"/>
        <v>5.8559838989635917</v>
      </c>
      <c r="O61" s="22">
        <f t="shared" si="10"/>
        <v>5.4390978120067928</v>
      </c>
    </row>
    <row r="62" spans="1:15" x14ac:dyDescent="0.2">
      <c r="A62" s="16">
        <f t="shared" si="2"/>
        <v>1985</v>
      </c>
      <c r="B62">
        <v>40805744</v>
      </c>
      <c r="C62">
        <v>16.100000000000001</v>
      </c>
      <c r="D62">
        <v>5.9</v>
      </c>
      <c r="E62" s="16">
        <f t="shared" si="3"/>
        <v>10.200000000000001</v>
      </c>
      <c r="F62">
        <v>19620388</v>
      </c>
      <c r="G62">
        <v>20.376000000000001</v>
      </c>
      <c r="H62">
        <v>5.7119999999999997</v>
      </c>
      <c r="I62" s="16">
        <f t="shared" si="4"/>
        <v>-5.7119999999999997</v>
      </c>
      <c r="J62" s="29">
        <f t="shared" si="6"/>
        <v>60426132</v>
      </c>
      <c r="K62">
        <f t="shared" si="7"/>
        <v>0.67529962036954472</v>
      </c>
      <c r="L62" s="16">
        <f t="shared" si="8"/>
        <v>0.32470037963045523</v>
      </c>
      <c r="M62" s="21">
        <f t="shared" si="5"/>
        <v>10.872323887949671</v>
      </c>
      <c r="N62" s="21">
        <f t="shared" si="9"/>
        <v>5.8389563286294743</v>
      </c>
      <c r="O62" s="22">
        <f t="shared" si="10"/>
        <v>5.0333675593201965</v>
      </c>
    </row>
    <row r="63" spans="1:15" x14ac:dyDescent="0.2">
      <c r="A63" s="16">
        <f t="shared" si="2"/>
        <v>1986</v>
      </c>
      <c r="B63">
        <v>41213674</v>
      </c>
      <c r="C63">
        <v>15.4</v>
      </c>
      <c r="D63">
        <v>5.8</v>
      </c>
      <c r="E63" s="16">
        <f t="shared" si="3"/>
        <v>9.6000000000000014</v>
      </c>
      <c r="F63">
        <v>19910855</v>
      </c>
      <c r="G63">
        <v>20.405000000000001</v>
      </c>
      <c r="H63">
        <v>5.6779999999999999</v>
      </c>
      <c r="I63" s="16">
        <f t="shared" si="4"/>
        <v>-5.6779999999999999</v>
      </c>
      <c r="J63" s="29">
        <f t="shared" si="6"/>
        <v>61124529</v>
      </c>
      <c r="K63">
        <f t="shared" si="7"/>
        <v>0.67425753088420526</v>
      </c>
      <c r="L63" s="16">
        <f t="shared" si="8"/>
        <v>0.32574246911579474</v>
      </c>
      <c r="M63" s="21">
        <f t="shared" si="5"/>
        <v>10.383565975616762</v>
      </c>
      <c r="N63" s="21">
        <f t="shared" si="9"/>
        <v>5.7602594187678724</v>
      </c>
      <c r="O63" s="22">
        <f t="shared" si="10"/>
        <v>4.6233065568488891</v>
      </c>
    </row>
    <row r="64" spans="1:15" x14ac:dyDescent="0.2">
      <c r="A64" s="16">
        <f t="shared" si="2"/>
        <v>1987</v>
      </c>
      <c r="B64">
        <v>41621690</v>
      </c>
      <c r="C64">
        <v>15</v>
      </c>
      <c r="D64">
        <v>5.9</v>
      </c>
      <c r="E64" s="16">
        <f t="shared" si="3"/>
        <v>9.1</v>
      </c>
      <c r="F64">
        <v>20205483</v>
      </c>
      <c r="G64">
        <v>20.321999999999999</v>
      </c>
      <c r="H64">
        <v>5.6710000000000003</v>
      </c>
      <c r="I64" s="16">
        <f t="shared" si="4"/>
        <v>-5.6710000000000003</v>
      </c>
      <c r="J64" s="29">
        <f t="shared" si="6"/>
        <v>61827173</v>
      </c>
      <c r="K64">
        <f t="shared" si="7"/>
        <v>0.67319413100126702</v>
      </c>
      <c r="L64" s="16">
        <f t="shared" si="8"/>
        <v>0.32680586899873298</v>
      </c>
      <c r="M64" s="21">
        <f t="shared" si="5"/>
        <v>10.097911965019005</v>
      </c>
      <c r="N64" s="21">
        <f t="shared" si="9"/>
        <v>5.8251614559992904</v>
      </c>
      <c r="O64" s="22">
        <f t="shared" si="10"/>
        <v>4.2727505090197146</v>
      </c>
    </row>
    <row r="65" spans="1:15" x14ac:dyDescent="0.2">
      <c r="A65" s="16">
        <f t="shared" si="2"/>
        <v>1988</v>
      </c>
      <c r="B65">
        <v>42031247</v>
      </c>
      <c r="C65">
        <v>15.1</v>
      </c>
      <c r="D65">
        <v>5.6</v>
      </c>
      <c r="E65" s="16">
        <f t="shared" si="3"/>
        <v>9.5</v>
      </c>
      <c r="F65">
        <v>20503161</v>
      </c>
      <c r="G65">
        <v>20.242999999999999</v>
      </c>
      <c r="H65">
        <v>5.6449999999999996</v>
      </c>
      <c r="I65" s="16">
        <f t="shared" si="4"/>
        <v>-5.6449999999999996</v>
      </c>
      <c r="J65" s="29">
        <f t="shared" si="6"/>
        <v>62534408</v>
      </c>
      <c r="K65">
        <f t="shared" si="7"/>
        <v>0.67212992565628826</v>
      </c>
      <c r="L65" s="16">
        <f t="shared" si="8"/>
        <v>0.32787007434371168</v>
      </c>
      <c r="M65" s="21">
        <f t="shared" si="5"/>
        <v>10.149161877409952</v>
      </c>
      <c r="N65" s="21">
        <f t="shared" si="9"/>
        <v>5.6147541533454666</v>
      </c>
      <c r="O65" s="22">
        <f t="shared" si="10"/>
        <v>4.5344077240644856</v>
      </c>
    </row>
    <row r="66" spans="1:15" x14ac:dyDescent="0.2">
      <c r="A66" s="16">
        <f t="shared" si="2"/>
        <v>1989</v>
      </c>
      <c r="B66">
        <v>42449038</v>
      </c>
      <c r="C66">
        <v>15.1</v>
      </c>
      <c r="D66">
        <v>5.6</v>
      </c>
      <c r="E66" s="16">
        <f t="shared" si="3"/>
        <v>9.5</v>
      </c>
      <c r="F66">
        <v>20804367</v>
      </c>
      <c r="G66">
        <v>20.210999999999999</v>
      </c>
      <c r="H66">
        <v>5.6429999999999998</v>
      </c>
      <c r="I66" s="16">
        <f t="shared" si="4"/>
        <v>-5.6429999999999998</v>
      </c>
      <c r="J66" s="29">
        <f t="shared" si="6"/>
        <v>63253405</v>
      </c>
      <c r="K66">
        <f t="shared" si="7"/>
        <v>0.67109490785515813</v>
      </c>
      <c r="L66" s="16">
        <f t="shared" si="8"/>
        <v>0.32890509214484187</v>
      </c>
      <c r="M66" s="21">
        <f t="shared" si="5"/>
        <v>10.133533108612887</v>
      </c>
      <c r="N66" s="21">
        <f t="shared" si="9"/>
        <v>5.6141429189622274</v>
      </c>
      <c r="O66" s="22">
        <f t="shared" si="10"/>
        <v>4.5193901896506601</v>
      </c>
    </row>
    <row r="67" spans="1:15" x14ac:dyDescent="0.2">
      <c r="A67" s="16">
        <f t="shared" si="2"/>
        <v>1990</v>
      </c>
      <c r="B67">
        <v>42869283</v>
      </c>
      <c r="C67">
        <v>15.2</v>
      </c>
      <c r="D67">
        <v>5.6</v>
      </c>
      <c r="E67" s="16">
        <f t="shared" si="3"/>
        <v>9.6</v>
      </c>
      <c r="F67">
        <v>21112137</v>
      </c>
      <c r="G67">
        <v>20.45</v>
      </c>
      <c r="H67">
        <v>5.65</v>
      </c>
      <c r="I67" s="16">
        <f t="shared" si="4"/>
        <v>-5.65</v>
      </c>
      <c r="J67" s="29">
        <f t="shared" si="6"/>
        <v>63981420</v>
      </c>
      <c r="K67">
        <f t="shared" si="7"/>
        <v>0.6700270641070486</v>
      </c>
      <c r="L67" s="16">
        <f t="shared" si="8"/>
        <v>0.3299729358929514</v>
      </c>
      <c r="M67" s="21">
        <f t="shared" si="5"/>
        <v>10.184411374427139</v>
      </c>
      <c r="N67" s="21">
        <f t="shared" si="9"/>
        <v>5.6164986467946481</v>
      </c>
      <c r="O67" s="22">
        <f t="shared" si="10"/>
        <v>4.5679127276324909</v>
      </c>
    </row>
    <row r="68" spans="1:15" x14ac:dyDescent="0.2">
      <c r="A68" s="16">
        <f t="shared" si="2"/>
        <v>1991</v>
      </c>
      <c r="B68">
        <v>43295704</v>
      </c>
      <c r="C68">
        <v>16.399999999999999</v>
      </c>
      <c r="D68">
        <v>5.6</v>
      </c>
      <c r="E68" s="16">
        <f t="shared" si="3"/>
        <v>10.799999999999999</v>
      </c>
      <c r="F68">
        <v>21428638</v>
      </c>
      <c r="G68">
        <v>20.611000000000001</v>
      </c>
      <c r="H68">
        <v>5.6520000000000001</v>
      </c>
      <c r="I68" s="16">
        <f t="shared" si="4"/>
        <v>-5.6520000000000001</v>
      </c>
      <c r="J68" s="29">
        <f t="shared" si="6"/>
        <v>64724342</v>
      </c>
      <c r="K68">
        <f t="shared" si="7"/>
        <v>0.66892459099854584</v>
      </c>
      <c r="L68" s="16">
        <f t="shared" si="8"/>
        <v>0.33107540900145421</v>
      </c>
      <c r="M68" s="21">
        <f t="shared" si="5"/>
        <v>10.970363292376151</v>
      </c>
      <c r="N68" s="21">
        <f t="shared" si="9"/>
        <v>5.617215921268075</v>
      </c>
      <c r="O68" s="22">
        <f t="shared" si="10"/>
        <v>5.3531473711080757</v>
      </c>
    </row>
    <row r="69" spans="1:15" x14ac:dyDescent="0.2">
      <c r="A69" s="16">
        <f t="shared" si="2"/>
        <v>1992</v>
      </c>
      <c r="B69">
        <v>43747962</v>
      </c>
      <c r="C69">
        <v>16.7</v>
      </c>
      <c r="D69">
        <v>5.4</v>
      </c>
      <c r="E69" s="16">
        <f t="shared" si="3"/>
        <v>11.299999999999999</v>
      </c>
      <c r="F69">
        <v>21750911</v>
      </c>
      <c r="G69">
        <v>20.524999999999999</v>
      </c>
      <c r="H69">
        <v>5.6289999999999996</v>
      </c>
      <c r="I69" s="16">
        <f t="shared" ref="I69:I100" si="11">S69-H69</f>
        <v>-5.6289999999999996</v>
      </c>
      <c r="J69" s="29">
        <f t="shared" si="6"/>
        <v>65498873</v>
      </c>
      <c r="K69">
        <f t="shared" si="7"/>
        <v>0.66791930908490593</v>
      </c>
      <c r="L69" s="16">
        <f t="shared" si="8"/>
        <v>0.33208069091509407</v>
      </c>
      <c r="M69" s="21">
        <f t="shared" ref="M69:M100" si="12">(C69*K69)+(S69*L69)</f>
        <v>11.154252461717929</v>
      </c>
      <c r="N69" s="21">
        <f t="shared" si="9"/>
        <v>5.4760464782195566</v>
      </c>
      <c r="O69" s="22">
        <f t="shared" si="10"/>
        <v>5.6782059834983727</v>
      </c>
    </row>
    <row r="70" spans="1:15" x14ac:dyDescent="0.2">
      <c r="A70" s="16">
        <f t="shared" si="2"/>
        <v>1993</v>
      </c>
      <c r="B70">
        <v>44194628</v>
      </c>
      <c r="C70">
        <v>16</v>
      </c>
      <c r="D70">
        <v>5.2</v>
      </c>
      <c r="E70" s="16">
        <f t="shared" si="3"/>
        <v>10.8</v>
      </c>
      <c r="F70">
        <v>22073352</v>
      </c>
      <c r="G70">
        <v>20.36</v>
      </c>
      <c r="H70">
        <v>5.8230000000000004</v>
      </c>
      <c r="I70" s="16">
        <f t="shared" si="11"/>
        <v>-5.8230000000000004</v>
      </c>
      <c r="J70" s="29">
        <f t="shared" si="6"/>
        <v>66267980</v>
      </c>
      <c r="K70">
        <f t="shared" si="7"/>
        <v>0.66690772828747757</v>
      </c>
      <c r="L70" s="16">
        <f t="shared" si="8"/>
        <v>0.33309227171252243</v>
      </c>
      <c r="M70" s="21">
        <f t="shared" si="12"/>
        <v>10.670523652599641</v>
      </c>
      <c r="N70" s="21">
        <f t="shared" si="9"/>
        <v>5.4075164852769015</v>
      </c>
      <c r="O70" s="22">
        <f t="shared" si="10"/>
        <v>5.2630071673227397</v>
      </c>
    </row>
    <row r="71" spans="1:15" x14ac:dyDescent="0.2">
      <c r="A71" s="16">
        <f t="shared" si="2"/>
        <v>1994</v>
      </c>
      <c r="B71">
        <v>44641540</v>
      </c>
      <c r="C71">
        <v>16</v>
      </c>
      <c r="D71">
        <v>5.4</v>
      </c>
      <c r="E71" s="16">
        <f t="shared" si="3"/>
        <v>10.6</v>
      </c>
      <c r="F71">
        <v>22393975</v>
      </c>
      <c r="G71">
        <v>20.408999999999999</v>
      </c>
      <c r="H71">
        <v>6.0810000000000004</v>
      </c>
      <c r="I71" s="16">
        <f t="shared" si="11"/>
        <v>-6.0810000000000004</v>
      </c>
      <c r="J71" s="29">
        <f t="shared" si="6"/>
        <v>67035515</v>
      </c>
      <c r="K71">
        <f t="shared" si="7"/>
        <v>0.66593864461248642</v>
      </c>
      <c r="L71" s="16">
        <f t="shared" si="8"/>
        <v>0.33406135538751364</v>
      </c>
      <c r="M71" s="21">
        <f t="shared" si="12"/>
        <v>10.655018313799783</v>
      </c>
      <c r="N71" s="21">
        <f t="shared" si="9"/>
        <v>5.6274957830188974</v>
      </c>
      <c r="O71" s="22">
        <f t="shared" si="10"/>
        <v>5.0275225307808853</v>
      </c>
    </row>
    <row r="72" spans="1:15" x14ac:dyDescent="0.2">
      <c r="A72" s="16">
        <f t="shared" si="2"/>
        <v>1995</v>
      </c>
      <c r="B72">
        <v>45092991</v>
      </c>
      <c r="C72">
        <v>15.7</v>
      </c>
      <c r="D72">
        <v>5.3</v>
      </c>
      <c r="E72" s="16">
        <f t="shared" si="3"/>
        <v>10.399999999999999</v>
      </c>
      <c r="F72">
        <v>22669304</v>
      </c>
      <c r="G72">
        <v>20.344000000000001</v>
      </c>
      <c r="H72">
        <v>10.048999999999999</v>
      </c>
      <c r="I72" s="16">
        <f t="shared" si="11"/>
        <v>-10.048999999999999</v>
      </c>
      <c r="J72" s="29">
        <f t="shared" si="6"/>
        <v>67762295</v>
      </c>
      <c r="K72">
        <f t="shared" si="7"/>
        <v>0.66545843820667527</v>
      </c>
      <c r="L72" s="16">
        <f t="shared" si="8"/>
        <v>0.33454156179332473</v>
      </c>
      <c r="M72" s="21">
        <f t="shared" si="12"/>
        <v>10.447697479844802</v>
      </c>
      <c r="N72" s="21">
        <f t="shared" si="9"/>
        <v>6.8887378769564984</v>
      </c>
      <c r="O72" s="22">
        <f t="shared" si="10"/>
        <v>3.5589596028883035</v>
      </c>
    </row>
    <row r="73" spans="1:15" x14ac:dyDescent="0.2">
      <c r="A73" s="16">
        <f t="shared" si="2"/>
        <v>1996</v>
      </c>
      <c r="B73">
        <v>45524681</v>
      </c>
      <c r="C73">
        <v>15</v>
      </c>
      <c r="D73">
        <v>5.2</v>
      </c>
      <c r="E73" s="16">
        <f t="shared" si="3"/>
        <v>9.8000000000000007</v>
      </c>
      <c r="F73">
        <v>22895746</v>
      </c>
      <c r="G73">
        <v>20.018999999999998</v>
      </c>
      <c r="H73">
        <v>10.144</v>
      </c>
      <c r="I73" s="16">
        <f t="shared" si="11"/>
        <v>-10.144</v>
      </c>
      <c r="J73" s="29">
        <f t="shared" si="6"/>
        <v>68420427</v>
      </c>
      <c r="K73">
        <f t="shared" si="7"/>
        <v>0.66536680631940515</v>
      </c>
      <c r="L73" s="16">
        <f t="shared" si="8"/>
        <v>0.33463319368059485</v>
      </c>
      <c r="M73" s="21">
        <f t="shared" si="12"/>
        <v>9.9805020947910776</v>
      </c>
      <c r="N73" s="21">
        <f t="shared" si="9"/>
        <v>6.8544265095568608</v>
      </c>
      <c r="O73" s="22">
        <f t="shared" si="10"/>
        <v>3.1260755852342168</v>
      </c>
    </row>
    <row r="74" spans="1:15" x14ac:dyDescent="0.2">
      <c r="A74" s="16">
        <f t="shared" si="2"/>
        <v>1997</v>
      </c>
      <c r="B74">
        <v>45953580</v>
      </c>
      <c r="C74">
        <v>14.5</v>
      </c>
      <c r="D74">
        <v>5.3</v>
      </c>
      <c r="E74" s="16">
        <f t="shared" si="3"/>
        <v>9.1999999999999993</v>
      </c>
      <c r="F74">
        <v>23110830</v>
      </c>
      <c r="G74">
        <v>19.393999999999998</v>
      </c>
      <c r="H74">
        <v>10.25</v>
      </c>
      <c r="I74" s="16">
        <f t="shared" si="11"/>
        <v>-10.25</v>
      </c>
      <c r="J74" s="29">
        <f t="shared" si="6"/>
        <v>69064410</v>
      </c>
      <c r="K74">
        <f t="shared" si="7"/>
        <v>0.66537280199743976</v>
      </c>
      <c r="L74" s="16">
        <f t="shared" si="8"/>
        <v>0.33462719800256024</v>
      </c>
      <c r="M74" s="21">
        <f t="shared" si="12"/>
        <v>9.6479056289628762</v>
      </c>
      <c r="N74" s="21">
        <f t="shared" si="9"/>
        <v>6.9564046301126732</v>
      </c>
      <c r="O74" s="22">
        <f t="shared" si="10"/>
        <v>2.691500998850203</v>
      </c>
    </row>
    <row r="75" spans="1:15" x14ac:dyDescent="0.2">
      <c r="A75" s="16">
        <f t="shared" si="2"/>
        <v>1998</v>
      </c>
      <c r="B75">
        <v>46286503</v>
      </c>
      <c r="C75">
        <v>13.7</v>
      </c>
      <c r="D75">
        <v>5.2</v>
      </c>
      <c r="E75" s="16">
        <f t="shared" si="3"/>
        <v>8.5</v>
      </c>
      <c r="F75">
        <v>23311564</v>
      </c>
      <c r="G75">
        <v>18.863</v>
      </c>
      <c r="H75">
        <v>10.387</v>
      </c>
      <c r="I75" s="16">
        <f t="shared" si="11"/>
        <v>-10.387</v>
      </c>
      <c r="J75" s="29">
        <f t="shared" si="6"/>
        <v>69598067</v>
      </c>
      <c r="K75">
        <f t="shared" si="7"/>
        <v>0.66505443319280688</v>
      </c>
      <c r="L75" s="16">
        <f t="shared" si="8"/>
        <v>0.33494556680719306</v>
      </c>
      <c r="M75" s="21">
        <f t="shared" si="12"/>
        <v>9.1112457347414537</v>
      </c>
      <c r="N75" s="21">
        <f t="shared" si="9"/>
        <v>6.9373626550289105</v>
      </c>
      <c r="O75" s="22">
        <f t="shared" si="10"/>
        <v>2.1738830797125432</v>
      </c>
    </row>
    <row r="76" spans="1:15" x14ac:dyDescent="0.2">
      <c r="A76" s="16">
        <f t="shared" si="2"/>
        <v>1999</v>
      </c>
      <c r="B76">
        <v>46616677</v>
      </c>
      <c r="C76">
        <v>13.2</v>
      </c>
      <c r="D76">
        <v>5.3</v>
      </c>
      <c r="E76" s="16">
        <f t="shared" si="3"/>
        <v>7.8999999999999995</v>
      </c>
      <c r="F76">
        <v>23497599</v>
      </c>
      <c r="G76">
        <v>18.260999999999999</v>
      </c>
      <c r="H76">
        <v>10.532</v>
      </c>
      <c r="I76" s="16">
        <f t="shared" si="11"/>
        <v>-10.532</v>
      </c>
      <c r="J76" s="29">
        <f t="shared" si="6"/>
        <v>70114276</v>
      </c>
      <c r="K76">
        <f t="shared" si="7"/>
        <v>0.6648671234942225</v>
      </c>
      <c r="L76" s="16">
        <f t="shared" si="8"/>
        <v>0.3351328765057775</v>
      </c>
      <c r="M76" s="21">
        <f t="shared" si="12"/>
        <v>8.7762460301237368</v>
      </c>
      <c r="N76" s="21">
        <f t="shared" si="9"/>
        <v>7.0534152098782279</v>
      </c>
      <c r="O76" s="22">
        <f t="shared" si="10"/>
        <v>1.7228308202455089</v>
      </c>
    </row>
    <row r="77" spans="1:15" x14ac:dyDescent="0.2">
      <c r="A77" s="16">
        <f t="shared" si="2"/>
        <v>2000</v>
      </c>
      <c r="B77">
        <v>47008111</v>
      </c>
      <c r="C77">
        <v>13.5</v>
      </c>
      <c r="D77">
        <v>5.2</v>
      </c>
      <c r="E77" s="16">
        <f t="shared" si="3"/>
        <v>8.3000000000000007</v>
      </c>
      <c r="F77">
        <v>23665910</v>
      </c>
      <c r="G77">
        <v>17.521000000000001</v>
      </c>
      <c r="H77">
        <v>10.693</v>
      </c>
      <c r="I77" s="16">
        <f t="shared" si="11"/>
        <v>-10.693</v>
      </c>
      <c r="J77" s="29">
        <f t="shared" si="6"/>
        <v>70674021</v>
      </c>
      <c r="K77">
        <f t="shared" si="7"/>
        <v>0.66513989631352655</v>
      </c>
      <c r="L77" s="16">
        <f t="shared" si="8"/>
        <v>0.3348601036864734</v>
      </c>
      <c r="M77" s="21">
        <f t="shared" si="12"/>
        <v>8.9793886002326087</v>
      </c>
      <c r="N77" s="21">
        <f t="shared" si="9"/>
        <v>7.039386549549798</v>
      </c>
      <c r="O77" s="22">
        <f t="shared" si="10"/>
        <v>1.9400020506828106</v>
      </c>
    </row>
    <row r="78" spans="1:15" x14ac:dyDescent="0.2">
      <c r="A78" s="16">
        <f t="shared" si="2"/>
        <v>2001</v>
      </c>
      <c r="B78">
        <v>47370164</v>
      </c>
      <c r="C78">
        <v>11.7</v>
      </c>
      <c r="D78">
        <v>5.0999999999999996</v>
      </c>
      <c r="E78" s="16">
        <f t="shared" si="3"/>
        <v>6.6</v>
      </c>
      <c r="F78">
        <v>23815358</v>
      </c>
      <c r="G78">
        <v>16.893999999999998</v>
      </c>
      <c r="H78">
        <v>10.875999999999999</v>
      </c>
      <c r="I78" s="16">
        <f t="shared" si="11"/>
        <v>-10.875999999999999</v>
      </c>
      <c r="J78" s="29">
        <f t="shared" si="6"/>
        <v>71185522</v>
      </c>
      <c r="K78">
        <f t="shared" si="7"/>
        <v>0.66544660584212612</v>
      </c>
      <c r="L78" s="16">
        <f t="shared" si="8"/>
        <v>0.33455339415787383</v>
      </c>
      <c r="M78" s="21">
        <f t="shared" si="12"/>
        <v>7.7857252883528751</v>
      </c>
      <c r="N78" s="21">
        <f t="shared" si="9"/>
        <v>7.0323804046558784</v>
      </c>
      <c r="O78" s="22">
        <f t="shared" si="10"/>
        <v>0.7533448836969967</v>
      </c>
    </row>
    <row r="79" spans="1:15" x14ac:dyDescent="0.2">
      <c r="A79" s="16">
        <f t="shared" si="2"/>
        <v>2002</v>
      </c>
      <c r="B79">
        <v>47644736</v>
      </c>
      <c r="C79">
        <v>10.3</v>
      </c>
      <c r="D79">
        <v>5.0999999999999996</v>
      </c>
      <c r="E79" s="16">
        <f t="shared" si="3"/>
        <v>5.2000000000000011</v>
      </c>
      <c r="F79">
        <v>23943973</v>
      </c>
      <c r="G79">
        <v>16.05</v>
      </c>
      <c r="H79">
        <v>11.058999999999999</v>
      </c>
      <c r="I79" s="16">
        <f t="shared" si="11"/>
        <v>-11.058999999999999</v>
      </c>
      <c r="J79" s="29">
        <f t="shared" si="6"/>
        <v>71588709</v>
      </c>
      <c r="K79">
        <f t="shared" si="7"/>
        <v>0.665534225515926</v>
      </c>
      <c r="L79" s="16">
        <f t="shared" si="8"/>
        <v>0.334465774484074</v>
      </c>
      <c r="M79" s="21">
        <f t="shared" si="12"/>
        <v>6.8550025228140381</v>
      </c>
      <c r="N79" s="21">
        <f t="shared" si="9"/>
        <v>7.0930815501505968</v>
      </c>
      <c r="O79" s="22">
        <f t="shared" si="10"/>
        <v>-0.23807902733655872</v>
      </c>
    </row>
    <row r="80" spans="1:15" x14ac:dyDescent="0.2">
      <c r="A80" s="16">
        <f t="shared" si="2"/>
        <v>2003</v>
      </c>
      <c r="B80">
        <v>47892330</v>
      </c>
      <c r="C80">
        <v>10.199999999999999</v>
      </c>
      <c r="D80">
        <v>5.0999999999999996</v>
      </c>
      <c r="E80" s="16">
        <f t="shared" si="3"/>
        <v>5.0999999999999996</v>
      </c>
      <c r="F80">
        <v>24090380</v>
      </c>
      <c r="G80">
        <v>15.318</v>
      </c>
      <c r="H80">
        <v>7.8970000000000002</v>
      </c>
      <c r="I80" s="16">
        <f t="shared" si="11"/>
        <v>-7.8970000000000002</v>
      </c>
      <c r="J80" s="29">
        <f t="shared" si="6"/>
        <v>71982710</v>
      </c>
      <c r="K80">
        <f t="shared" si="7"/>
        <v>0.66533102185233095</v>
      </c>
      <c r="L80" s="16">
        <f t="shared" si="8"/>
        <v>0.33466897814766905</v>
      </c>
      <c r="M80" s="21">
        <f t="shared" si="12"/>
        <v>6.7863764228937749</v>
      </c>
      <c r="N80" s="21">
        <f t="shared" si="9"/>
        <v>6.0360691318790298</v>
      </c>
      <c r="O80" s="22">
        <f t="shared" si="10"/>
        <v>0.75030729101474503</v>
      </c>
    </row>
    <row r="81" spans="1:15" x14ac:dyDescent="0.2">
      <c r="A81" s="16">
        <f t="shared" si="2"/>
        <v>2004</v>
      </c>
      <c r="B81">
        <v>48082519</v>
      </c>
      <c r="C81">
        <v>9.8000000000000007</v>
      </c>
      <c r="D81">
        <v>5.0999999999999996</v>
      </c>
      <c r="E81" s="16">
        <f t="shared" si="3"/>
        <v>4.7000000000000011</v>
      </c>
      <c r="F81">
        <v>24254943</v>
      </c>
      <c r="G81">
        <v>14.599</v>
      </c>
      <c r="H81">
        <v>8.1739999999999995</v>
      </c>
      <c r="I81" s="16">
        <f t="shared" si="11"/>
        <v>-8.1739999999999995</v>
      </c>
      <c r="J81" s="29">
        <f t="shared" si="6"/>
        <v>72337462</v>
      </c>
      <c r="K81">
        <f t="shared" si="7"/>
        <v>0.66469734589250584</v>
      </c>
      <c r="L81" s="16">
        <f t="shared" si="8"/>
        <v>0.3353026541074941</v>
      </c>
      <c r="M81" s="21">
        <f t="shared" si="12"/>
        <v>6.514033989746558</v>
      </c>
      <c r="N81" s="21">
        <f t="shared" si="9"/>
        <v>6.1307203587264354</v>
      </c>
      <c r="O81" s="22">
        <f t="shared" si="10"/>
        <v>0.38331363102012261</v>
      </c>
    </row>
    <row r="82" spans="1:15" x14ac:dyDescent="0.2">
      <c r="A82" s="16">
        <f t="shared" si="2"/>
        <v>2005</v>
      </c>
      <c r="B82">
        <v>48184561</v>
      </c>
      <c r="C82">
        <v>9</v>
      </c>
      <c r="D82">
        <v>5.0999999999999996</v>
      </c>
      <c r="E82" s="16">
        <f t="shared" si="3"/>
        <v>3.9000000000000004</v>
      </c>
      <c r="F82">
        <v>24396433</v>
      </c>
      <c r="G82">
        <v>13.903</v>
      </c>
      <c r="H82">
        <v>8.4610000000000003</v>
      </c>
      <c r="I82" s="16">
        <f t="shared" si="11"/>
        <v>-8.4610000000000003</v>
      </c>
      <c r="J82" s="29">
        <f t="shared" si="6"/>
        <v>72580994</v>
      </c>
      <c r="K82">
        <f t="shared" si="7"/>
        <v>0.66387298305669384</v>
      </c>
      <c r="L82" s="16">
        <f t="shared" si="8"/>
        <v>0.3361270169433061</v>
      </c>
      <c r="M82" s="21">
        <f t="shared" si="12"/>
        <v>5.9748568475102442</v>
      </c>
      <c r="N82" s="21">
        <f t="shared" si="9"/>
        <v>6.2297229039464517</v>
      </c>
      <c r="O82" s="22">
        <f t="shared" si="10"/>
        <v>-0.25486605643620752</v>
      </c>
    </row>
    <row r="83" spans="1:15" x14ac:dyDescent="0.2">
      <c r="A83" s="16">
        <f t="shared" si="2"/>
        <v>2006</v>
      </c>
      <c r="B83">
        <v>48438292</v>
      </c>
      <c r="C83">
        <v>9.1999999999999993</v>
      </c>
      <c r="D83">
        <v>5</v>
      </c>
      <c r="E83" s="16">
        <f t="shared" si="3"/>
        <v>4.1999999999999993</v>
      </c>
      <c r="F83">
        <v>24524507</v>
      </c>
      <c r="G83">
        <v>14.021000000000001</v>
      </c>
      <c r="H83">
        <v>8.7539999999999996</v>
      </c>
      <c r="I83" s="16">
        <f t="shared" si="11"/>
        <v>-8.7539999999999996</v>
      </c>
      <c r="J83" s="29">
        <f t="shared" si="6"/>
        <v>72962799</v>
      </c>
      <c r="K83">
        <f t="shared" si="7"/>
        <v>0.66387655988910188</v>
      </c>
      <c r="L83" s="16">
        <f t="shared" si="8"/>
        <v>0.33612344011089818</v>
      </c>
      <c r="M83" s="21">
        <f t="shared" si="12"/>
        <v>6.1076643509797366</v>
      </c>
      <c r="N83" s="21">
        <f t="shared" si="9"/>
        <v>6.2618073941763122</v>
      </c>
      <c r="O83" s="22">
        <f t="shared" si="10"/>
        <v>-0.15414304319657557</v>
      </c>
    </row>
    <row r="84" spans="1:15" x14ac:dyDescent="0.2">
      <c r="A84" s="16">
        <f t="shared" si="2"/>
        <v>2007</v>
      </c>
      <c r="B84">
        <v>48683638</v>
      </c>
      <c r="C84">
        <v>10.1</v>
      </c>
      <c r="D84">
        <v>5</v>
      </c>
      <c r="E84" s="16">
        <f t="shared" si="3"/>
        <v>5.0999999999999996</v>
      </c>
      <c r="F84">
        <v>24646383</v>
      </c>
      <c r="G84">
        <v>13.856</v>
      </c>
      <c r="H84">
        <v>8.9659999999999993</v>
      </c>
      <c r="I84" s="16">
        <f t="shared" si="11"/>
        <v>-8.9659999999999993</v>
      </c>
      <c r="J84" s="29">
        <f t="shared" si="6"/>
        <v>73330021</v>
      </c>
      <c r="K84">
        <f t="shared" si="7"/>
        <v>0.66389777796463467</v>
      </c>
      <c r="L84" s="16">
        <f t="shared" si="8"/>
        <v>0.33610222203536527</v>
      </c>
      <c r="M84" s="21">
        <f t="shared" si="12"/>
        <v>6.70536755744281</v>
      </c>
      <c r="N84" s="21">
        <f t="shared" si="9"/>
        <v>6.3329814125922574</v>
      </c>
      <c r="O84" s="22">
        <f t="shared" si="10"/>
        <v>0.37238614485055255</v>
      </c>
    </row>
    <row r="85" spans="1:15" x14ac:dyDescent="0.2">
      <c r="A85" s="16">
        <f t="shared" si="2"/>
        <v>2008</v>
      </c>
      <c r="B85">
        <v>49054708</v>
      </c>
      <c r="C85">
        <v>9.4</v>
      </c>
      <c r="D85">
        <v>5</v>
      </c>
      <c r="E85" s="16">
        <f t="shared" si="3"/>
        <v>4.4000000000000004</v>
      </c>
      <c r="F85">
        <v>24764618</v>
      </c>
      <c r="G85">
        <v>13.923</v>
      </c>
      <c r="H85">
        <v>8.9960000000000004</v>
      </c>
      <c r="I85" s="16">
        <f t="shared" si="11"/>
        <v>-8.9960000000000004</v>
      </c>
      <c r="J85" s="29">
        <f t="shared" si="6"/>
        <v>73819326</v>
      </c>
      <c r="K85">
        <f t="shared" si="7"/>
        <v>0.66452392155409279</v>
      </c>
      <c r="L85" s="16">
        <f t="shared" si="8"/>
        <v>0.33547607844590727</v>
      </c>
      <c r="M85" s="21">
        <f t="shared" si="12"/>
        <v>6.2465248626084726</v>
      </c>
      <c r="N85" s="21">
        <f t="shared" si="9"/>
        <v>6.3405624094698458</v>
      </c>
      <c r="O85" s="22">
        <f t="shared" si="10"/>
        <v>-9.4037546861373222E-2</v>
      </c>
    </row>
    <row r="86" spans="1:15" x14ac:dyDescent="0.2">
      <c r="A86" s="16">
        <f t="shared" si="2"/>
        <v>2009</v>
      </c>
      <c r="B86">
        <v>49307835</v>
      </c>
      <c r="C86">
        <v>9</v>
      </c>
      <c r="D86">
        <v>5</v>
      </c>
      <c r="E86" s="16">
        <f t="shared" si="3"/>
        <v>4</v>
      </c>
      <c r="F86">
        <v>24878332</v>
      </c>
      <c r="G86">
        <v>13.403</v>
      </c>
      <c r="H86">
        <v>8.92</v>
      </c>
      <c r="I86" s="16">
        <f t="shared" si="11"/>
        <v>-8.92</v>
      </c>
      <c r="J86" s="29">
        <f t="shared" si="6"/>
        <v>74186167</v>
      </c>
      <c r="K86">
        <f t="shared" si="7"/>
        <v>0.66464998791486285</v>
      </c>
      <c r="L86" s="16">
        <f t="shared" si="8"/>
        <v>0.33535001208513709</v>
      </c>
      <c r="M86" s="21">
        <f t="shared" si="12"/>
        <v>5.9818498912337654</v>
      </c>
      <c r="N86" s="21">
        <f t="shared" si="9"/>
        <v>6.314572047373737</v>
      </c>
      <c r="O86" s="22">
        <f t="shared" si="10"/>
        <v>-0.33272215613997158</v>
      </c>
    </row>
    <row r="87" spans="1:15" x14ac:dyDescent="0.2">
      <c r="A87" s="16">
        <f t="shared" si="2"/>
        <v>2010</v>
      </c>
      <c r="B87">
        <v>49554112</v>
      </c>
      <c r="C87">
        <v>9.4</v>
      </c>
      <c r="D87">
        <v>5.0999999999999996</v>
      </c>
      <c r="E87" s="16">
        <f t="shared" si="3"/>
        <v>4.3000000000000007</v>
      </c>
      <c r="F87">
        <v>24987258</v>
      </c>
      <c r="G87">
        <v>13.294</v>
      </c>
      <c r="H87">
        <v>8.7940000000000005</v>
      </c>
      <c r="I87" s="16">
        <f t="shared" si="11"/>
        <v>-8.7940000000000005</v>
      </c>
      <c r="J87" s="29">
        <f t="shared" si="6"/>
        <v>74541370</v>
      </c>
      <c r="K87">
        <f t="shared" si="7"/>
        <v>0.66478670837415521</v>
      </c>
      <c r="L87" s="16">
        <f t="shared" si="8"/>
        <v>0.33521329162584479</v>
      </c>
      <c r="M87" s="21">
        <f t="shared" si="12"/>
        <v>6.2489950587170595</v>
      </c>
      <c r="N87" s="21">
        <f t="shared" si="9"/>
        <v>6.3382778992658704</v>
      </c>
      <c r="O87" s="22">
        <f t="shared" si="10"/>
        <v>-8.928284054881086E-2</v>
      </c>
    </row>
    <row r="88" spans="1:15" x14ac:dyDescent="0.2">
      <c r="A88" s="16">
        <f t="shared" si="2"/>
        <v>2011</v>
      </c>
      <c r="B88">
        <v>49936638</v>
      </c>
      <c r="C88">
        <v>9.4</v>
      </c>
      <c r="D88">
        <v>5.0999999999999996</v>
      </c>
      <c r="E88" s="16">
        <f t="shared" si="3"/>
        <v>4.3000000000000007</v>
      </c>
      <c r="F88">
        <v>25097874</v>
      </c>
      <c r="G88">
        <v>13.273</v>
      </c>
      <c r="H88">
        <v>8.6989999999999998</v>
      </c>
      <c r="I88" s="16">
        <f t="shared" si="11"/>
        <v>-8.6989999999999998</v>
      </c>
      <c r="J88" s="29">
        <f t="shared" si="6"/>
        <v>75034512</v>
      </c>
      <c r="K88">
        <f t="shared" si="7"/>
        <v>0.66551559634318669</v>
      </c>
      <c r="L88" s="16">
        <f t="shared" si="8"/>
        <v>0.33448440365681326</v>
      </c>
      <c r="M88" s="21">
        <f t="shared" si="12"/>
        <v>6.2558466056259547</v>
      </c>
      <c r="N88" s="21">
        <f t="shared" si="9"/>
        <v>6.3038093687608701</v>
      </c>
      <c r="O88" s="22">
        <f t="shared" si="10"/>
        <v>-4.7962763134915321E-2</v>
      </c>
    </row>
    <row r="89" spans="1:15" x14ac:dyDescent="0.2">
      <c r="A89" s="16">
        <f t="shared" si="2"/>
        <v>2012</v>
      </c>
      <c r="B89">
        <v>50199853</v>
      </c>
      <c r="C89">
        <v>9.6</v>
      </c>
      <c r="D89">
        <v>5.3</v>
      </c>
      <c r="E89" s="16">
        <f t="shared" si="3"/>
        <v>4.3</v>
      </c>
      <c r="F89">
        <v>25211728</v>
      </c>
      <c r="G89">
        <v>13.316000000000001</v>
      </c>
      <c r="H89">
        <v>8.6050000000000004</v>
      </c>
      <c r="I89" s="16">
        <f t="shared" si="11"/>
        <v>-8.6050000000000004</v>
      </c>
      <c r="J89" s="29">
        <f t="shared" si="6"/>
        <v>75411581</v>
      </c>
      <c r="K89">
        <f t="shared" si="7"/>
        <v>0.6656782994643754</v>
      </c>
      <c r="L89" s="16">
        <f t="shared" si="8"/>
        <v>0.33432170053562466</v>
      </c>
      <c r="M89" s="21">
        <f t="shared" si="12"/>
        <v>6.3905116748580033</v>
      </c>
      <c r="N89" s="21">
        <f t="shared" si="9"/>
        <v>6.40493322027024</v>
      </c>
      <c r="O89" s="22">
        <f t="shared" si="10"/>
        <v>-1.4421545412236725E-2</v>
      </c>
    </row>
    <row r="90" spans="1:15" x14ac:dyDescent="0.2">
      <c r="A90" s="16">
        <f t="shared" si="2"/>
        <v>2013</v>
      </c>
      <c r="B90">
        <v>50428893</v>
      </c>
      <c r="C90">
        <v>8.6</v>
      </c>
      <c r="D90">
        <v>5.3</v>
      </c>
      <c r="E90" s="16">
        <f t="shared" si="3"/>
        <v>3.3</v>
      </c>
      <c r="F90">
        <v>25329451</v>
      </c>
      <c r="G90">
        <v>13.356999999999999</v>
      </c>
      <c r="H90">
        <v>8.52</v>
      </c>
      <c r="I90" s="16">
        <f t="shared" si="11"/>
        <v>-8.52</v>
      </c>
      <c r="J90" s="29">
        <f t="shared" si="6"/>
        <v>75758344</v>
      </c>
      <c r="K90">
        <f t="shared" si="7"/>
        <v>0.66565463732945374</v>
      </c>
      <c r="L90" s="16">
        <f t="shared" si="8"/>
        <v>0.33434536267054621</v>
      </c>
      <c r="M90" s="21">
        <f t="shared" si="12"/>
        <v>5.7246298810333016</v>
      </c>
      <c r="N90" s="21">
        <f t="shared" si="9"/>
        <v>6.3765920677991588</v>
      </c>
      <c r="O90" s="22">
        <f t="shared" si="10"/>
        <v>-0.65196218676585715</v>
      </c>
    </row>
    <row r="91" spans="1:15" x14ac:dyDescent="0.2">
      <c r="A91" s="16">
        <f t="shared" si="2"/>
        <v>2014</v>
      </c>
      <c r="B91">
        <v>50746659</v>
      </c>
      <c r="C91">
        <v>8.6</v>
      </c>
      <c r="D91">
        <v>5.3</v>
      </c>
      <c r="E91" s="16">
        <f t="shared" si="3"/>
        <v>3.3</v>
      </c>
      <c r="F91">
        <v>25451262</v>
      </c>
      <c r="G91">
        <v>13.411</v>
      </c>
      <c r="H91">
        <v>8.4179999999999993</v>
      </c>
      <c r="I91" s="16">
        <f t="shared" si="11"/>
        <v>-8.4179999999999993</v>
      </c>
      <c r="J91" s="29">
        <f t="shared" si="6"/>
        <v>76197921</v>
      </c>
      <c r="K91">
        <f t="shared" si="7"/>
        <v>0.66598482391665248</v>
      </c>
      <c r="L91" s="16">
        <f t="shared" si="8"/>
        <v>0.33401517608334746</v>
      </c>
      <c r="M91" s="21">
        <f t="shared" si="12"/>
        <v>5.7274694856832111</v>
      </c>
      <c r="N91" s="21">
        <f t="shared" si="9"/>
        <v>6.3414593190278765</v>
      </c>
      <c r="O91" s="22">
        <f t="shared" si="10"/>
        <v>-0.61398983334466539</v>
      </c>
    </row>
    <row r="92" spans="1:15" x14ac:dyDescent="0.2">
      <c r="A92" s="16">
        <f t="shared" si="2"/>
        <v>2015</v>
      </c>
      <c r="B92">
        <v>51014947</v>
      </c>
      <c r="C92">
        <v>8.6</v>
      </c>
      <c r="D92">
        <v>5.4</v>
      </c>
      <c r="E92" s="16">
        <f t="shared" ref="E92:E100" si="13">C92-D92</f>
        <v>3.1999999999999993</v>
      </c>
      <c r="F92">
        <v>25575350</v>
      </c>
      <c r="G92">
        <v>13.423</v>
      </c>
      <c r="H92">
        <v>8.4429999999999996</v>
      </c>
      <c r="I92" s="16">
        <f t="shared" si="11"/>
        <v>-8.4429999999999996</v>
      </c>
      <c r="J92" s="29">
        <f t="shared" si="6"/>
        <v>76590297</v>
      </c>
      <c r="K92">
        <f t="shared" si="7"/>
        <v>0.66607584770170036</v>
      </c>
      <c r="L92" s="16">
        <f t="shared" si="8"/>
        <v>0.33392415229829964</v>
      </c>
      <c r="M92" s="21">
        <f t="shared" si="12"/>
        <v>5.7282522902346225</v>
      </c>
      <c r="N92" s="21">
        <f t="shared" si="9"/>
        <v>6.4161311954437252</v>
      </c>
      <c r="O92" s="22">
        <f t="shared" si="10"/>
        <v>-0.68787890520910278</v>
      </c>
    </row>
    <row r="93" spans="1:15" x14ac:dyDescent="0.2">
      <c r="A93" s="16">
        <f t="shared" ref="A93:A100" si="14">A92+1</f>
        <v>2016</v>
      </c>
      <c r="B93">
        <v>51217803</v>
      </c>
      <c r="C93">
        <v>7.9</v>
      </c>
      <c r="D93">
        <v>5.5</v>
      </c>
      <c r="E93" s="16">
        <f t="shared" si="13"/>
        <v>2.4000000000000004</v>
      </c>
      <c r="F93">
        <v>25698326</v>
      </c>
      <c r="G93">
        <v>13.458</v>
      </c>
      <c r="H93">
        <v>8.5920000000000005</v>
      </c>
      <c r="I93" s="16">
        <f t="shared" si="11"/>
        <v>-8.5920000000000005</v>
      </c>
      <c r="J93" s="29">
        <f t="shared" si="6"/>
        <v>76916129</v>
      </c>
      <c r="K93">
        <f t="shared" si="7"/>
        <v>0.66589158432557105</v>
      </c>
      <c r="L93" s="16">
        <f t="shared" si="8"/>
        <v>0.33410841567442895</v>
      </c>
      <c r="M93" s="21">
        <f t="shared" si="12"/>
        <v>5.2605435161720111</v>
      </c>
      <c r="N93" s="21">
        <f t="shared" si="9"/>
        <v>6.5330632212653343</v>
      </c>
      <c r="O93" s="22">
        <f t="shared" si="10"/>
        <v>-1.2725197050933232</v>
      </c>
    </row>
    <row r="94" spans="1:15" x14ac:dyDescent="0.2">
      <c r="A94" s="16">
        <f t="shared" si="14"/>
        <v>2017</v>
      </c>
      <c r="B94">
        <v>51361911</v>
      </c>
      <c r="C94">
        <v>7</v>
      </c>
      <c r="D94">
        <v>5.6</v>
      </c>
      <c r="E94" s="16">
        <f t="shared" si="13"/>
        <v>1.4000000000000004</v>
      </c>
      <c r="F94">
        <v>25817709</v>
      </c>
      <c r="G94">
        <v>13.474</v>
      </c>
      <c r="H94">
        <v>8.8190000000000008</v>
      </c>
      <c r="I94" s="16">
        <f t="shared" si="11"/>
        <v>-8.8190000000000008</v>
      </c>
      <c r="J94" s="29">
        <f t="shared" si="6"/>
        <v>77179620</v>
      </c>
      <c r="K94">
        <f t="shared" si="7"/>
        <v>0.66548540923108979</v>
      </c>
      <c r="L94" s="16">
        <f t="shared" si="8"/>
        <v>0.33451459076891021</v>
      </c>
      <c r="M94" s="21">
        <f t="shared" si="12"/>
        <v>4.6583978646176281</v>
      </c>
      <c r="N94" s="21">
        <f t="shared" si="9"/>
        <v>6.6768024676851221</v>
      </c>
      <c r="O94" s="22">
        <f t="shared" si="10"/>
        <v>-2.018404603067494</v>
      </c>
    </row>
    <row r="95" spans="1:15" x14ac:dyDescent="0.2">
      <c r="A95" s="16">
        <f t="shared" si="14"/>
        <v>2018</v>
      </c>
      <c r="B95">
        <v>51585058</v>
      </c>
      <c r="C95">
        <v>6.4</v>
      </c>
      <c r="D95">
        <v>5.8</v>
      </c>
      <c r="E95" s="16">
        <f t="shared" si="13"/>
        <v>0.60000000000000053</v>
      </c>
      <c r="F95">
        <v>25931147</v>
      </c>
      <c r="G95">
        <v>13.427</v>
      </c>
      <c r="H95">
        <v>9.0630000000000006</v>
      </c>
      <c r="I95" s="16">
        <f t="shared" si="11"/>
        <v>-9.0630000000000006</v>
      </c>
      <c r="J95" s="29">
        <f t="shared" si="6"/>
        <v>77516205</v>
      </c>
      <c r="K95">
        <f t="shared" si="7"/>
        <v>0.6654745030410093</v>
      </c>
      <c r="L95" s="16">
        <f t="shared" si="8"/>
        <v>0.3345254969589907</v>
      </c>
      <c r="M95" s="21">
        <f t="shared" si="12"/>
        <v>4.2590368194624597</v>
      </c>
      <c r="N95" s="21">
        <f t="shared" si="9"/>
        <v>6.8915566965771866</v>
      </c>
      <c r="O95" s="22">
        <f t="shared" si="10"/>
        <v>-2.6325198771147269</v>
      </c>
    </row>
    <row r="96" spans="1:15" x14ac:dyDescent="0.2">
      <c r="A96" s="16">
        <f t="shared" si="14"/>
        <v>2019</v>
      </c>
      <c r="B96">
        <v>51764822</v>
      </c>
      <c r="C96">
        <v>5.9</v>
      </c>
      <c r="D96">
        <v>5.7</v>
      </c>
      <c r="E96" s="16">
        <f t="shared" si="13"/>
        <v>0.20000000000000018</v>
      </c>
      <c r="F96">
        <v>26037632</v>
      </c>
      <c r="G96">
        <v>13.404999999999999</v>
      </c>
      <c r="H96">
        <v>9.3260000000000005</v>
      </c>
      <c r="I96" s="16">
        <f t="shared" si="11"/>
        <v>-9.3260000000000005</v>
      </c>
      <c r="J96" s="29">
        <f t="shared" si="6"/>
        <v>77802454</v>
      </c>
      <c r="K96">
        <f t="shared" si="7"/>
        <v>0.66533662292965723</v>
      </c>
      <c r="L96" s="16">
        <f t="shared" si="8"/>
        <v>0.33466337707034277</v>
      </c>
      <c r="M96" s="21">
        <f t="shared" si="12"/>
        <v>3.9254860752849781</v>
      </c>
      <c r="N96" s="21">
        <f t="shared" si="9"/>
        <v>6.9134894052570628</v>
      </c>
      <c r="O96" s="22">
        <f t="shared" si="10"/>
        <v>-2.9880033299720847</v>
      </c>
    </row>
    <row r="97" spans="1:15" x14ac:dyDescent="0.2">
      <c r="A97" s="16">
        <f t="shared" si="14"/>
        <v>2020</v>
      </c>
      <c r="B97">
        <v>51836239</v>
      </c>
      <c r="C97">
        <v>5.3</v>
      </c>
      <c r="D97">
        <v>5.9</v>
      </c>
      <c r="E97" s="16">
        <f t="shared" si="13"/>
        <v>-0.60000000000000053</v>
      </c>
      <c r="F97">
        <v>26136312</v>
      </c>
      <c r="G97">
        <v>13.391</v>
      </c>
      <c r="H97">
        <v>9.7210000000000001</v>
      </c>
      <c r="I97" s="16">
        <f t="shared" si="11"/>
        <v>-9.7210000000000001</v>
      </c>
      <c r="J97" s="29">
        <f t="shared" si="6"/>
        <v>77972551</v>
      </c>
      <c r="K97">
        <f t="shared" si="7"/>
        <v>0.66480111699821132</v>
      </c>
      <c r="L97" s="16">
        <f t="shared" si="8"/>
        <v>0.33519888300178868</v>
      </c>
      <c r="M97" s="21">
        <f t="shared" si="12"/>
        <v>3.5234459200905199</v>
      </c>
      <c r="N97" s="21">
        <f t="shared" si="9"/>
        <v>7.1807949319498352</v>
      </c>
      <c r="O97" s="22">
        <f t="shared" si="10"/>
        <v>-3.6573490118593153</v>
      </c>
    </row>
    <row r="98" spans="1:15" x14ac:dyDescent="0.2">
      <c r="A98" s="16">
        <f t="shared" si="14"/>
        <v>2021</v>
      </c>
      <c r="B98">
        <v>51769539</v>
      </c>
      <c r="C98">
        <v>5.0999999999999996</v>
      </c>
      <c r="D98">
        <v>6.2</v>
      </c>
      <c r="E98" s="16">
        <f t="shared" si="13"/>
        <v>-1.1000000000000005</v>
      </c>
      <c r="F98">
        <v>26232534</v>
      </c>
      <c r="G98">
        <v>13.266999999999999</v>
      </c>
      <c r="H98">
        <v>9.4659999999999993</v>
      </c>
      <c r="I98" s="16">
        <f t="shared" si="11"/>
        <v>-9.4659999999999993</v>
      </c>
      <c r="J98" s="29">
        <f t="shared" si="6"/>
        <v>78002073</v>
      </c>
      <c r="K98">
        <f t="shared" si="7"/>
        <v>0.66369439950653619</v>
      </c>
      <c r="L98" s="16">
        <f t="shared" si="8"/>
        <v>0.33630560049346381</v>
      </c>
      <c r="M98" s="21">
        <f t="shared" si="12"/>
        <v>3.3848414374833342</v>
      </c>
      <c r="N98" s="21">
        <f t="shared" si="9"/>
        <v>7.2983740912116524</v>
      </c>
      <c r="O98" s="22">
        <f t="shared" si="10"/>
        <v>-3.9135326537283182</v>
      </c>
    </row>
    <row r="99" spans="1:15" x14ac:dyDescent="0.2">
      <c r="A99" s="16">
        <f t="shared" si="14"/>
        <v>2022</v>
      </c>
      <c r="B99">
        <v>51672569</v>
      </c>
      <c r="C99">
        <v>4.9000000000000004</v>
      </c>
      <c r="D99">
        <v>7.3</v>
      </c>
      <c r="E99" s="16">
        <f t="shared" si="13"/>
        <v>-2.3999999999999995</v>
      </c>
      <c r="F99">
        <v>26328845</v>
      </c>
      <c r="G99">
        <v>13.148999999999999</v>
      </c>
      <c r="H99">
        <v>9.484</v>
      </c>
      <c r="I99" s="16">
        <f t="shared" si="11"/>
        <v>-9.484</v>
      </c>
      <c r="J99" s="29">
        <f t="shared" si="6"/>
        <v>78001414</v>
      </c>
      <c r="K99">
        <f t="shared" si="7"/>
        <v>0.66245682418013596</v>
      </c>
      <c r="L99" s="16">
        <f t="shared" si="8"/>
        <v>0.33754317581986398</v>
      </c>
      <c r="M99" s="21">
        <f t="shared" si="12"/>
        <v>3.2460384384826666</v>
      </c>
      <c r="N99" s="21">
        <f t="shared" si="9"/>
        <v>8.0371942959905827</v>
      </c>
      <c r="O99" s="22">
        <f t="shared" si="10"/>
        <v>-4.7911558575079161</v>
      </c>
    </row>
    <row r="100" spans="1:15" x14ac:dyDescent="0.2">
      <c r="A100" s="16">
        <f t="shared" si="14"/>
        <v>2023</v>
      </c>
      <c r="B100">
        <v>51712619</v>
      </c>
      <c r="C100">
        <v>4.5</v>
      </c>
      <c r="D100">
        <v>6.9</v>
      </c>
      <c r="E100" s="16">
        <f t="shared" si="13"/>
        <v>-2.4000000000000004</v>
      </c>
      <c r="F100">
        <v>26418204</v>
      </c>
      <c r="G100">
        <v>12.946999999999999</v>
      </c>
      <c r="H100">
        <v>9.6839999999999993</v>
      </c>
      <c r="I100" s="16">
        <f t="shared" si="11"/>
        <v>-9.6839999999999993</v>
      </c>
      <c r="J100" s="29">
        <f t="shared" si="6"/>
        <v>78130823</v>
      </c>
      <c r="K100">
        <f t="shared" si="7"/>
        <v>0.66187219095337058</v>
      </c>
      <c r="L100" s="16">
        <f t="shared" si="8"/>
        <v>0.33812780904662937</v>
      </c>
      <c r="M100" s="21">
        <f t="shared" si="12"/>
        <v>2.9784248592901674</v>
      </c>
      <c r="N100" s="21">
        <f t="shared" si="9"/>
        <v>7.841347820385816</v>
      </c>
      <c r="O100" s="22">
        <f t="shared" si="10"/>
        <v>-4.8629229610956486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DF09-E578-134A-9303-5D169AAC97AB}">
  <dimension ref="A1:G117"/>
  <sheetViews>
    <sheetView workbookViewId="0">
      <selection activeCell="A5" sqref="A5:XFD5"/>
    </sheetView>
  </sheetViews>
  <sheetFormatPr baseColWidth="10" defaultRowHeight="15" x14ac:dyDescent="0.2"/>
  <cols>
    <col min="2" max="2" width="11" bestFit="1" customWidth="1"/>
    <col min="3" max="4" width="12" bestFit="1" customWidth="1"/>
    <col min="6" max="6" width="22.6640625" bestFit="1" customWidth="1"/>
  </cols>
  <sheetData>
    <row r="1" spans="1:7" s="13" customFormat="1" x14ac:dyDescent="0.2">
      <c r="A1" s="13" t="s">
        <v>260</v>
      </c>
      <c r="B1" s="13" t="s">
        <v>293</v>
      </c>
      <c r="C1" s="13" t="s">
        <v>241</v>
      </c>
      <c r="D1" s="13" t="s">
        <v>294</v>
      </c>
      <c r="E1" s="13" t="s">
        <v>242</v>
      </c>
      <c r="F1" s="13" t="s">
        <v>299</v>
      </c>
      <c r="G1" s="13" t="s">
        <v>243</v>
      </c>
    </row>
    <row r="2" spans="1:7" x14ac:dyDescent="0.2">
      <c r="A2">
        <v>1838</v>
      </c>
      <c r="B2" s="20">
        <v>1851</v>
      </c>
    </row>
    <row r="3" spans="1:7" x14ac:dyDescent="0.2">
      <c r="A3">
        <v>1839</v>
      </c>
      <c r="B3" s="20">
        <v>1838</v>
      </c>
    </row>
    <row r="4" spans="1:7" x14ac:dyDescent="0.2">
      <c r="A4">
        <v>1840</v>
      </c>
      <c r="B4" s="20">
        <v>1994</v>
      </c>
    </row>
    <row r="5" spans="1:7" x14ac:dyDescent="0.2">
      <c r="A5">
        <v>1841</v>
      </c>
      <c r="B5" s="20">
        <v>2118</v>
      </c>
      <c r="C5">
        <f>(B5/F5)*1000</f>
        <v>36.828552097428954</v>
      </c>
      <c r="D5" s="20">
        <v>1478</v>
      </c>
      <c r="E5">
        <v>25.7</v>
      </c>
      <c r="F5" s="32">
        <f>(1000*D5)/E5</f>
        <v>57509.727626459149</v>
      </c>
      <c r="G5">
        <f t="shared" ref="G5:G36" si="0">C5-E5</f>
        <v>11.128552097428955</v>
      </c>
    </row>
    <row r="6" spans="1:7" x14ac:dyDescent="0.2">
      <c r="A6">
        <v>1842</v>
      </c>
      <c r="B6" s="20">
        <v>2112</v>
      </c>
      <c r="C6">
        <f t="shared" ref="C6:C69" si="1">(B6/F6)*1000</f>
        <v>36.36556291390729</v>
      </c>
      <c r="D6" s="20">
        <v>1510</v>
      </c>
      <c r="E6">
        <v>26</v>
      </c>
      <c r="F6" s="32">
        <f t="shared" ref="F6:F69" si="2">(1000*D6)/E6</f>
        <v>58076.923076923078</v>
      </c>
      <c r="G6">
        <f t="shared" si="0"/>
        <v>10.36556291390729</v>
      </c>
    </row>
    <row r="7" spans="1:7" x14ac:dyDescent="0.2">
      <c r="A7">
        <v>1843</v>
      </c>
      <c r="B7" s="20">
        <v>1996</v>
      </c>
      <c r="C7">
        <f t="shared" si="1"/>
        <v>34.520620842572065</v>
      </c>
      <c r="D7" s="20">
        <v>3157</v>
      </c>
      <c r="E7">
        <v>54.6</v>
      </c>
      <c r="F7" s="32">
        <f t="shared" si="2"/>
        <v>57820.51282051282</v>
      </c>
      <c r="G7">
        <f t="shared" si="0"/>
        <v>-20.079379157427937</v>
      </c>
    </row>
    <row r="8" spans="1:7" x14ac:dyDescent="0.2">
      <c r="A8">
        <v>1844</v>
      </c>
      <c r="B8" s="20">
        <v>1913</v>
      </c>
      <c r="C8">
        <f t="shared" si="1"/>
        <v>33.276554621848739</v>
      </c>
      <c r="D8" s="20">
        <v>1190</v>
      </c>
      <c r="E8">
        <v>20.7</v>
      </c>
      <c r="F8" s="32">
        <f t="shared" si="2"/>
        <v>57487.922705314013</v>
      </c>
      <c r="G8">
        <f t="shared" si="0"/>
        <v>12.576554621848739</v>
      </c>
    </row>
    <row r="9" spans="1:7" x14ac:dyDescent="0.2">
      <c r="A9">
        <v>1845</v>
      </c>
      <c r="B9" s="20">
        <v>2047</v>
      </c>
      <c r="C9">
        <f t="shared" si="1"/>
        <v>35.065063861758077</v>
      </c>
      <c r="D9" s="20">
        <v>1331</v>
      </c>
      <c r="E9">
        <v>22.8</v>
      </c>
      <c r="F9" s="32">
        <f t="shared" si="2"/>
        <v>58377.192982456138</v>
      </c>
      <c r="G9">
        <f t="shared" si="0"/>
        <v>12.265063861758076</v>
      </c>
    </row>
    <row r="10" spans="1:7" x14ac:dyDescent="0.2">
      <c r="A10">
        <v>1846</v>
      </c>
      <c r="B10" s="20">
        <v>2073</v>
      </c>
      <c r="C10">
        <f t="shared" si="1"/>
        <v>35.712689101574554</v>
      </c>
      <c r="D10" s="20">
        <v>3239</v>
      </c>
      <c r="E10">
        <v>55.8</v>
      </c>
      <c r="F10" s="32">
        <f t="shared" si="2"/>
        <v>58046.594982078859</v>
      </c>
      <c r="G10">
        <f t="shared" si="0"/>
        <v>-20.087310898425443</v>
      </c>
    </row>
    <row r="11" spans="1:7" x14ac:dyDescent="0.2">
      <c r="A11">
        <v>1847</v>
      </c>
      <c r="B11" s="20">
        <v>1923</v>
      </c>
      <c r="C11">
        <f t="shared" si="1"/>
        <v>33.267639077340576</v>
      </c>
      <c r="D11" s="20">
        <v>1474</v>
      </c>
      <c r="E11">
        <v>25.5</v>
      </c>
      <c r="F11" s="32">
        <f t="shared" si="2"/>
        <v>57803.921568627447</v>
      </c>
      <c r="G11">
        <f t="shared" si="0"/>
        <v>7.7676390773405757</v>
      </c>
    </row>
    <row r="12" spans="1:7" x14ac:dyDescent="0.2">
      <c r="A12">
        <v>1848</v>
      </c>
      <c r="B12" s="20">
        <v>2137</v>
      </c>
      <c r="C12">
        <f t="shared" si="1"/>
        <v>36.609262295081962</v>
      </c>
      <c r="D12" s="20">
        <v>1220</v>
      </c>
      <c r="E12">
        <v>20.9</v>
      </c>
      <c r="F12" s="32">
        <f t="shared" si="2"/>
        <v>58373.2057416268</v>
      </c>
      <c r="G12">
        <f t="shared" si="0"/>
        <v>15.709262295081963</v>
      </c>
    </row>
    <row r="13" spans="1:7" x14ac:dyDescent="0.2">
      <c r="A13">
        <v>1849</v>
      </c>
      <c r="B13" s="20">
        <v>2144</v>
      </c>
      <c r="C13">
        <f t="shared" si="1"/>
        <v>36.171304974765683</v>
      </c>
      <c r="D13" s="20">
        <v>1387</v>
      </c>
      <c r="E13">
        <v>23.4</v>
      </c>
      <c r="F13" s="32">
        <f t="shared" si="2"/>
        <v>59273.504273504281</v>
      </c>
      <c r="G13">
        <f t="shared" si="0"/>
        <v>12.771304974765684</v>
      </c>
    </row>
    <row r="14" spans="1:7" x14ac:dyDescent="0.2">
      <c r="A14">
        <v>1850</v>
      </c>
      <c r="B14" s="20">
        <v>2284</v>
      </c>
      <c r="C14">
        <f t="shared" si="1"/>
        <v>38.013869625520108</v>
      </c>
      <c r="D14" s="20">
        <v>1442</v>
      </c>
      <c r="E14">
        <v>24</v>
      </c>
      <c r="F14" s="32">
        <f t="shared" si="2"/>
        <v>60083.333333333336</v>
      </c>
      <c r="G14">
        <f t="shared" si="0"/>
        <v>14.013869625520108</v>
      </c>
    </row>
    <row r="15" spans="1:7" x14ac:dyDescent="0.2">
      <c r="A15">
        <v>1851</v>
      </c>
      <c r="B15" s="20">
        <v>2310</v>
      </c>
      <c r="C15">
        <f t="shared" si="1"/>
        <v>38.039673913043487</v>
      </c>
      <c r="D15" s="20">
        <v>1840</v>
      </c>
      <c r="E15">
        <v>30.3</v>
      </c>
      <c r="F15" s="32">
        <f t="shared" si="2"/>
        <v>60726.072607260721</v>
      </c>
      <c r="G15">
        <f t="shared" si="0"/>
        <v>7.739673913043486</v>
      </c>
    </row>
    <row r="16" spans="1:7" x14ac:dyDescent="0.2">
      <c r="A16">
        <v>1852</v>
      </c>
      <c r="B16" s="20">
        <v>2380</v>
      </c>
      <c r="C16">
        <f t="shared" si="1"/>
        <v>38.796783625730995</v>
      </c>
      <c r="D16" s="20">
        <v>1368</v>
      </c>
      <c r="E16">
        <v>22.3</v>
      </c>
      <c r="F16" s="32">
        <f t="shared" si="2"/>
        <v>61345.291479820626</v>
      </c>
      <c r="G16">
        <f t="shared" si="0"/>
        <v>16.496783625730995</v>
      </c>
    </row>
    <row r="17" spans="1:7" x14ac:dyDescent="0.2">
      <c r="A17">
        <v>1853</v>
      </c>
      <c r="B17" s="20">
        <v>2478</v>
      </c>
      <c r="C17">
        <f t="shared" si="1"/>
        <v>39.586760812003533</v>
      </c>
      <c r="D17" s="20">
        <v>1133</v>
      </c>
      <c r="E17">
        <v>18.100000000000001</v>
      </c>
      <c r="F17" s="32">
        <f t="shared" si="2"/>
        <v>62596.685082872922</v>
      </c>
      <c r="G17">
        <f t="shared" si="0"/>
        <v>21.486760812003531</v>
      </c>
    </row>
    <row r="18" spans="1:7" x14ac:dyDescent="0.2">
      <c r="A18">
        <v>1854</v>
      </c>
      <c r="B18" s="20">
        <v>2482</v>
      </c>
      <c r="C18">
        <f t="shared" si="1"/>
        <v>38.94351464435146</v>
      </c>
      <c r="D18" s="20">
        <v>1434</v>
      </c>
      <c r="E18">
        <v>22.5</v>
      </c>
      <c r="F18" s="32">
        <f t="shared" si="2"/>
        <v>63733.333333333336</v>
      </c>
      <c r="G18">
        <f t="shared" si="0"/>
        <v>16.44351464435146</v>
      </c>
    </row>
    <row r="19" spans="1:7" x14ac:dyDescent="0.2">
      <c r="A19">
        <v>1855</v>
      </c>
      <c r="B19" s="20">
        <v>2445</v>
      </c>
      <c r="C19">
        <f t="shared" si="1"/>
        <v>37.820261437908492</v>
      </c>
      <c r="D19" s="20">
        <v>1836</v>
      </c>
      <c r="E19">
        <v>28.4</v>
      </c>
      <c r="F19" s="32">
        <f t="shared" si="2"/>
        <v>64647.887323943665</v>
      </c>
      <c r="G19">
        <f t="shared" si="0"/>
        <v>9.4202614379084935</v>
      </c>
    </row>
    <row r="20" spans="1:7" x14ac:dyDescent="0.2">
      <c r="A20">
        <v>1856</v>
      </c>
      <c r="B20" s="20">
        <v>2417</v>
      </c>
      <c r="C20">
        <f t="shared" si="1"/>
        <v>36.975859649122803</v>
      </c>
      <c r="D20" s="20">
        <v>1425</v>
      </c>
      <c r="E20">
        <v>21.8</v>
      </c>
      <c r="F20" s="32">
        <f t="shared" si="2"/>
        <v>65366.972477064221</v>
      </c>
      <c r="G20">
        <f t="shared" si="0"/>
        <v>15.175859649122803</v>
      </c>
    </row>
    <row r="21" spans="1:7" x14ac:dyDescent="0.2">
      <c r="A21">
        <v>1857</v>
      </c>
      <c r="B21" s="20">
        <v>2664</v>
      </c>
      <c r="C21">
        <f t="shared" si="1"/>
        <v>40.188924252068752</v>
      </c>
      <c r="D21" s="20">
        <v>1571</v>
      </c>
      <c r="E21">
        <v>23.7</v>
      </c>
      <c r="F21" s="32">
        <f t="shared" si="2"/>
        <v>66286.919831223626</v>
      </c>
      <c r="G21">
        <f t="shared" si="0"/>
        <v>16.488924252068752</v>
      </c>
    </row>
    <row r="22" spans="1:7" x14ac:dyDescent="0.2">
      <c r="A22">
        <v>1858</v>
      </c>
      <c r="B22" s="20">
        <v>2857</v>
      </c>
      <c r="C22">
        <f t="shared" si="1"/>
        <v>42.435069623517279</v>
      </c>
      <c r="D22" s="20">
        <v>1939</v>
      </c>
      <c r="E22">
        <v>28.8</v>
      </c>
      <c r="F22" s="32">
        <f t="shared" si="2"/>
        <v>67326.388888888891</v>
      </c>
      <c r="G22">
        <f t="shared" si="0"/>
        <v>13.635069623517278</v>
      </c>
    </row>
    <row r="23" spans="1:7" x14ac:dyDescent="0.2">
      <c r="A23">
        <v>1859</v>
      </c>
      <c r="B23" s="20">
        <v>2600</v>
      </c>
      <c r="C23">
        <f t="shared" si="1"/>
        <v>38.379462494985958</v>
      </c>
      <c r="D23" s="20">
        <v>2493</v>
      </c>
      <c r="E23">
        <v>36.799999999999997</v>
      </c>
      <c r="F23" s="32">
        <f t="shared" si="2"/>
        <v>67744.565217391311</v>
      </c>
      <c r="G23">
        <f t="shared" si="0"/>
        <v>1.579462494985961</v>
      </c>
    </row>
    <row r="24" spans="1:7" x14ac:dyDescent="0.2">
      <c r="A24">
        <v>1860</v>
      </c>
      <c r="B24" s="20">
        <v>2390</v>
      </c>
      <c r="C24">
        <f t="shared" si="1"/>
        <v>35.527027027027025</v>
      </c>
      <c r="D24" s="20">
        <v>3256</v>
      </c>
      <c r="E24">
        <v>48.4</v>
      </c>
      <c r="F24" s="32">
        <f t="shared" si="2"/>
        <v>67272.727272727279</v>
      </c>
      <c r="G24">
        <f t="shared" si="0"/>
        <v>-12.872972972972974</v>
      </c>
    </row>
    <row r="25" spans="1:7" x14ac:dyDescent="0.2">
      <c r="A25">
        <v>1861</v>
      </c>
      <c r="B25" s="20">
        <v>2445</v>
      </c>
      <c r="C25">
        <f t="shared" si="1"/>
        <v>36.500432713111209</v>
      </c>
      <c r="D25" s="20">
        <v>2311</v>
      </c>
      <c r="E25">
        <v>34.5</v>
      </c>
      <c r="F25" s="32">
        <f t="shared" si="2"/>
        <v>66985.507246376816</v>
      </c>
      <c r="G25">
        <f t="shared" si="0"/>
        <v>2.0004327131112092</v>
      </c>
    </row>
    <row r="26" spans="1:7" x14ac:dyDescent="0.2">
      <c r="A26">
        <v>1862</v>
      </c>
      <c r="B26" s="20">
        <v>2603</v>
      </c>
      <c r="C26">
        <f t="shared" si="1"/>
        <v>38.895402298850577</v>
      </c>
      <c r="D26" s="20">
        <v>2784</v>
      </c>
      <c r="E26">
        <v>41.6</v>
      </c>
      <c r="F26" s="32">
        <f t="shared" si="2"/>
        <v>66923.076923076922</v>
      </c>
      <c r="G26">
        <f t="shared" si="0"/>
        <v>-2.7045977011494244</v>
      </c>
    </row>
    <row r="27" spans="1:7" x14ac:dyDescent="0.2">
      <c r="A27">
        <v>1863</v>
      </c>
      <c r="B27" s="20">
        <v>2551</v>
      </c>
      <c r="C27">
        <f t="shared" si="1"/>
        <v>38.050099108027752</v>
      </c>
      <c r="D27" s="20">
        <v>2018</v>
      </c>
      <c r="E27">
        <v>30.1</v>
      </c>
      <c r="F27" s="32">
        <f t="shared" si="2"/>
        <v>67043.189368770763</v>
      </c>
      <c r="G27">
        <f t="shared" si="0"/>
        <v>7.9500991080277501</v>
      </c>
    </row>
    <row r="28" spans="1:7" x14ac:dyDescent="0.2">
      <c r="A28">
        <v>1864</v>
      </c>
      <c r="B28" s="20">
        <v>2667</v>
      </c>
      <c r="C28">
        <f t="shared" si="1"/>
        <v>39.417924528301889</v>
      </c>
      <c r="D28" s="20">
        <v>1908</v>
      </c>
      <c r="E28">
        <v>28.2</v>
      </c>
      <c r="F28" s="32">
        <f t="shared" si="2"/>
        <v>67659.574468085106</v>
      </c>
      <c r="G28">
        <f t="shared" si="0"/>
        <v>11.217924528301889</v>
      </c>
    </row>
    <row r="29" spans="1:7" x14ac:dyDescent="0.2">
      <c r="A29">
        <v>1865</v>
      </c>
      <c r="B29" s="20">
        <v>2659</v>
      </c>
      <c r="C29">
        <f t="shared" si="1"/>
        <v>38.915434565434566</v>
      </c>
      <c r="D29" s="20">
        <v>2002</v>
      </c>
      <c r="E29">
        <v>29.3</v>
      </c>
      <c r="F29" s="32">
        <f t="shared" si="2"/>
        <v>68327.645051194544</v>
      </c>
      <c r="G29">
        <f t="shared" si="0"/>
        <v>9.6154345654345654</v>
      </c>
    </row>
    <row r="30" spans="1:7" x14ac:dyDescent="0.2">
      <c r="A30">
        <v>1866</v>
      </c>
      <c r="B30" s="20">
        <v>2578</v>
      </c>
      <c r="C30">
        <f t="shared" si="1"/>
        <v>37.672534041846568</v>
      </c>
      <c r="D30" s="20">
        <v>3011</v>
      </c>
      <c r="E30">
        <v>44</v>
      </c>
      <c r="F30" s="32">
        <f t="shared" si="2"/>
        <v>68431.818181818177</v>
      </c>
      <c r="G30">
        <f t="shared" si="0"/>
        <v>-6.3274659581534323</v>
      </c>
    </row>
    <row r="31" spans="1:7" x14ac:dyDescent="0.2">
      <c r="A31">
        <v>1867</v>
      </c>
      <c r="B31" s="20">
        <v>2668</v>
      </c>
      <c r="C31">
        <f t="shared" si="1"/>
        <v>38.878820058997043</v>
      </c>
      <c r="D31" s="20">
        <v>1695</v>
      </c>
      <c r="E31">
        <v>24.7</v>
      </c>
      <c r="F31" s="32">
        <f t="shared" si="2"/>
        <v>68623.481781376526</v>
      </c>
      <c r="G31">
        <f t="shared" si="0"/>
        <v>14.178820058997044</v>
      </c>
    </row>
    <row r="32" spans="1:7" x14ac:dyDescent="0.2">
      <c r="A32">
        <v>1868</v>
      </c>
      <c r="B32" s="20">
        <v>2373</v>
      </c>
      <c r="C32">
        <f t="shared" si="1"/>
        <v>34.204276663146779</v>
      </c>
      <c r="D32" s="20">
        <v>1894</v>
      </c>
      <c r="E32">
        <v>27.3</v>
      </c>
      <c r="F32" s="32">
        <f t="shared" si="2"/>
        <v>69377.289377289373</v>
      </c>
      <c r="G32">
        <f t="shared" si="0"/>
        <v>6.9042766631467778</v>
      </c>
    </row>
    <row r="33" spans="1:7" x14ac:dyDescent="0.2">
      <c r="A33">
        <v>1869</v>
      </c>
      <c r="B33" s="20">
        <v>2121</v>
      </c>
      <c r="C33">
        <f t="shared" si="1"/>
        <v>30.441950596252134</v>
      </c>
      <c r="D33" s="20">
        <v>2348</v>
      </c>
      <c r="E33">
        <v>33.700000000000003</v>
      </c>
      <c r="F33" s="32">
        <f t="shared" si="2"/>
        <v>69673.590504451029</v>
      </c>
      <c r="G33">
        <f t="shared" si="0"/>
        <v>-3.2580494037478687</v>
      </c>
    </row>
    <row r="34" spans="1:7" x14ac:dyDescent="0.2">
      <c r="A34">
        <v>1870</v>
      </c>
      <c r="B34" s="20">
        <v>2191</v>
      </c>
      <c r="C34">
        <f t="shared" si="1"/>
        <v>31.377619342839434</v>
      </c>
      <c r="D34" s="20">
        <v>1613</v>
      </c>
      <c r="E34">
        <v>23.1</v>
      </c>
      <c r="F34" s="32">
        <f t="shared" si="2"/>
        <v>69826.839826839816</v>
      </c>
      <c r="G34">
        <f t="shared" si="0"/>
        <v>8.2776193428394329</v>
      </c>
    </row>
    <row r="35" spans="1:7" x14ac:dyDescent="0.2">
      <c r="A35">
        <v>1871</v>
      </c>
      <c r="B35" s="20">
        <v>2195</v>
      </c>
      <c r="C35">
        <f t="shared" si="1"/>
        <v>31.305140961857379</v>
      </c>
      <c r="D35" s="20">
        <v>1809</v>
      </c>
      <c r="E35">
        <v>25.8</v>
      </c>
      <c r="F35" s="32">
        <f t="shared" si="2"/>
        <v>70116.279069767435</v>
      </c>
      <c r="G35">
        <f t="shared" si="0"/>
        <v>5.5051409618573786</v>
      </c>
    </row>
    <row r="36" spans="1:7" x14ac:dyDescent="0.2">
      <c r="A36">
        <v>1872</v>
      </c>
      <c r="B36" s="20">
        <v>2196</v>
      </c>
      <c r="C36">
        <f t="shared" si="1"/>
        <v>31.279966680549776</v>
      </c>
      <c r="D36" s="20">
        <v>2401</v>
      </c>
      <c r="E36">
        <v>34.200000000000003</v>
      </c>
      <c r="F36" s="32">
        <f t="shared" si="2"/>
        <v>70204.67836257309</v>
      </c>
      <c r="G36">
        <f t="shared" si="0"/>
        <v>-2.9200333194502264</v>
      </c>
    </row>
    <row r="37" spans="1:7" x14ac:dyDescent="0.2">
      <c r="A37">
        <v>1873</v>
      </c>
      <c r="B37" s="20">
        <v>2369</v>
      </c>
      <c r="C37">
        <f t="shared" si="1"/>
        <v>33.750842849374656</v>
      </c>
      <c r="D37" s="20">
        <v>1839</v>
      </c>
      <c r="E37">
        <v>26.2</v>
      </c>
      <c r="F37" s="32">
        <f t="shared" si="2"/>
        <v>70190.83969465649</v>
      </c>
      <c r="G37">
        <f t="shared" ref="G37:G68" si="3">C37-E37</f>
        <v>7.5508428493746571</v>
      </c>
    </row>
    <row r="38" spans="1:7" x14ac:dyDescent="0.2">
      <c r="A38">
        <v>1874</v>
      </c>
      <c r="B38" s="20">
        <v>2259</v>
      </c>
      <c r="C38">
        <f t="shared" si="1"/>
        <v>32.038345370978334</v>
      </c>
      <c r="D38" s="20">
        <v>1523</v>
      </c>
      <c r="E38">
        <v>21.6</v>
      </c>
      <c r="F38" s="32">
        <f t="shared" si="2"/>
        <v>70509.259259259255</v>
      </c>
      <c r="G38">
        <f t="shared" si="3"/>
        <v>10.438345370978332</v>
      </c>
    </row>
    <row r="39" spans="1:7" x14ac:dyDescent="0.2">
      <c r="A39">
        <v>1875</v>
      </c>
      <c r="B39" s="20">
        <v>2268</v>
      </c>
      <c r="C39">
        <f t="shared" si="1"/>
        <v>32.031597845601439</v>
      </c>
      <c r="D39" s="20">
        <v>1671</v>
      </c>
      <c r="E39">
        <v>23.6</v>
      </c>
      <c r="F39" s="32">
        <f t="shared" si="2"/>
        <v>70805.08474576271</v>
      </c>
      <c r="G39">
        <f t="shared" si="3"/>
        <v>8.4315978456014378</v>
      </c>
    </row>
    <row r="40" spans="1:7" x14ac:dyDescent="0.2">
      <c r="A40">
        <v>1876</v>
      </c>
      <c r="B40" s="20">
        <v>2355</v>
      </c>
      <c r="C40">
        <f t="shared" si="1"/>
        <v>33.119572261827599</v>
      </c>
      <c r="D40" s="20">
        <v>1543</v>
      </c>
      <c r="E40">
        <v>21.7</v>
      </c>
      <c r="F40" s="32">
        <f t="shared" si="2"/>
        <v>71105.990783410147</v>
      </c>
      <c r="G40">
        <f t="shared" si="3"/>
        <v>11.4195722618276</v>
      </c>
    </row>
    <row r="41" spans="1:7" x14ac:dyDescent="0.2">
      <c r="A41">
        <v>1877</v>
      </c>
      <c r="B41" s="20">
        <v>2183</v>
      </c>
      <c r="C41">
        <f t="shared" si="1"/>
        <v>30.632939438700149</v>
      </c>
      <c r="D41" s="20">
        <v>1354</v>
      </c>
      <c r="E41">
        <v>19</v>
      </c>
      <c r="F41" s="32">
        <f t="shared" si="2"/>
        <v>71263.15789473684</v>
      </c>
      <c r="G41">
        <f t="shared" si="3"/>
        <v>11.632939438700149</v>
      </c>
    </row>
    <row r="42" spans="1:7" x14ac:dyDescent="0.2">
      <c r="A42">
        <v>1878</v>
      </c>
      <c r="B42" s="20">
        <v>2366</v>
      </c>
      <c r="C42">
        <f t="shared" si="1"/>
        <v>32.911666666666669</v>
      </c>
      <c r="D42" s="20">
        <v>1560</v>
      </c>
      <c r="E42">
        <v>21.7</v>
      </c>
      <c r="F42" s="32">
        <f t="shared" si="2"/>
        <v>71889.400921658991</v>
      </c>
      <c r="G42">
        <f t="shared" si="3"/>
        <v>11.21166666666667</v>
      </c>
    </row>
    <row r="43" spans="1:7" x14ac:dyDescent="0.2">
      <c r="A43">
        <v>1879</v>
      </c>
      <c r="B43" s="20">
        <v>2249</v>
      </c>
      <c r="C43">
        <f t="shared" si="1"/>
        <v>31.236111111111111</v>
      </c>
      <c r="D43" s="20">
        <v>1800</v>
      </c>
      <c r="E43">
        <v>25</v>
      </c>
      <c r="F43" s="32">
        <f t="shared" si="2"/>
        <v>72000</v>
      </c>
      <c r="G43">
        <f t="shared" si="3"/>
        <v>6.2361111111111107</v>
      </c>
    </row>
    <row r="44" spans="1:7" x14ac:dyDescent="0.2">
      <c r="A44">
        <v>1880</v>
      </c>
      <c r="B44" s="20">
        <v>2268</v>
      </c>
      <c r="C44">
        <f t="shared" si="1"/>
        <v>31.412326043737572</v>
      </c>
      <c r="D44" s="20">
        <v>1509</v>
      </c>
      <c r="E44">
        <v>20.9</v>
      </c>
      <c r="F44" s="32">
        <f t="shared" si="2"/>
        <v>72200.956937799041</v>
      </c>
      <c r="G44">
        <f t="shared" si="3"/>
        <v>10.512326043737573</v>
      </c>
    </row>
    <row r="45" spans="1:7" x14ac:dyDescent="0.2">
      <c r="A45">
        <v>1881</v>
      </c>
      <c r="B45" s="20">
        <v>2324</v>
      </c>
      <c r="C45">
        <f t="shared" si="1"/>
        <v>31.840829694323141</v>
      </c>
      <c r="D45" s="20">
        <v>1832</v>
      </c>
      <c r="E45">
        <v>25.1</v>
      </c>
      <c r="F45" s="32">
        <f t="shared" si="2"/>
        <v>72988.047808764939</v>
      </c>
      <c r="G45">
        <f t="shared" si="3"/>
        <v>6.7408296943231392</v>
      </c>
    </row>
    <row r="46" spans="1:7" x14ac:dyDescent="0.2">
      <c r="A46">
        <v>1882</v>
      </c>
      <c r="B46" s="20">
        <v>2299</v>
      </c>
      <c r="C46">
        <f t="shared" si="1"/>
        <v>31.673857011353174</v>
      </c>
      <c r="D46" s="20">
        <v>3259</v>
      </c>
      <c r="E46">
        <v>44.9</v>
      </c>
      <c r="F46" s="32">
        <f t="shared" si="2"/>
        <v>72583.518930957682</v>
      </c>
      <c r="G46">
        <f t="shared" si="3"/>
        <v>-13.226142988646824</v>
      </c>
    </row>
    <row r="47" spans="1:7" x14ac:dyDescent="0.2">
      <c r="A47">
        <v>1883</v>
      </c>
      <c r="B47" s="20">
        <v>2112</v>
      </c>
      <c r="C47">
        <f t="shared" si="1"/>
        <v>29.605625879043597</v>
      </c>
      <c r="D47" s="20">
        <v>2133</v>
      </c>
      <c r="E47">
        <v>29.9</v>
      </c>
      <c r="F47" s="32">
        <f t="shared" si="2"/>
        <v>71337.79264214047</v>
      </c>
      <c r="G47">
        <f t="shared" si="3"/>
        <v>-0.2943741209564017</v>
      </c>
    </row>
    <row r="48" spans="1:7" x14ac:dyDescent="0.2">
      <c r="A48">
        <v>1884</v>
      </c>
      <c r="B48" s="20">
        <v>2315</v>
      </c>
      <c r="C48">
        <f t="shared" si="1"/>
        <v>32.637180373185899</v>
      </c>
      <c r="D48" s="20">
        <v>1447</v>
      </c>
      <c r="E48">
        <v>20.399999999999999</v>
      </c>
      <c r="F48" s="32">
        <f t="shared" si="2"/>
        <v>70931.372549019608</v>
      </c>
      <c r="G48">
        <f t="shared" si="3"/>
        <v>12.2371803731859</v>
      </c>
    </row>
    <row r="49" spans="1:7" x14ac:dyDescent="0.2">
      <c r="A49">
        <v>1885</v>
      </c>
      <c r="B49" s="20">
        <v>2252</v>
      </c>
      <c r="C49">
        <f t="shared" si="1"/>
        <v>31.403728560775544</v>
      </c>
      <c r="D49" s="20">
        <v>1341</v>
      </c>
      <c r="E49">
        <v>18.7</v>
      </c>
      <c r="F49" s="32">
        <f t="shared" si="2"/>
        <v>71711.229946524065</v>
      </c>
      <c r="G49">
        <f t="shared" si="3"/>
        <v>12.703728560775545</v>
      </c>
    </row>
    <row r="50" spans="1:7" x14ac:dyDescent="0.2">
      <c r="A50">
        <v>1886</v>
      </c>
      <c r="B50" s="20">
        <v>2137</v>
      </c>
      <c r="C50">
        <f t="shared" si="1"/>
        <v>29.570470756062768</v>
      </c>
      <c r="D50" s="20">
        <v>1402</v>
      </c>
      <c r="E50">
        <v>19.399999999999999</v>
      </c>
      <c r="F50" s="32">
        <f t="shared" si="2"/>
        <v>72268.041237113401</v>
      </c>
      <c r="G50">
        <f t="shared" si="3"/>
        <v>10.17047075606277</v>
      </c>
    </row>
    <row r="51" spans="1:7" x14ac:dyDescent="0.2">
      <c r="A51">
        <v>1887</v>
      </c>
      <c r="B51" s="20">
        <v>2008</v>
      </c>
      <c r="C51">
        <f t="shared" si="1"/>
        <v>28.062477980035233</v>
      </c>
      <c r="D51" s="20">
        <v>1703</v>
      </c>
      <c r="E51">
        <v>23.8</v>
      </c>
      <c r="F51" s="32">
        <f t="shared" si="2"/>
        <v>71554.621848739494</v>
      </c>
      <c r="G51">
        <f t="shared" si="3"/>
        <v>4.2624779800352322</v>
      </c>
    </row>
    <row r="52" spans="1:7" x14ac:dyDescent="0.2">
      <c r="A52">
        <v>1888</v>
      </c>
      <c r="B52" s="20">
        <v>1917</v>
      </c>
      <c r="C52">
        <f t="shared" si="1"/>
        <v>27.280948737566948</v>
      </c>
      <c r="D52" s="20">
        <v>1307</v>
      </c>
      <c r="E52">
        <v>18.600000000000001</v>
      </c>
      <c r="F52" s="32">
        <f t="shared" si="2"/>
        <v>70268.817204301071</v>
      </c>
      <c r="G52">
        <f t="shared" si="3"/>
        <v>8.680948737566947</v>
      </c>
    </row>
    <row r="53" spans="1:7" x14ac:dyDescent="0.2">
      <c r="A53">
        <v>1889</v>
      </c>
      <c r="B53" s="20">
        <v>2180</v>
      </c>
      <c r="C53">
        <f t="shared" si="1"/>
        <v>30.971585701191568</v>
      </c>
      <c r="D53" s="20">
        <v>1091</v>
      </c>
      <c r="E53">
        <v>15.5</v>
      </c>
      <c r="F53" s="32">
        <f t="shared" si="2"/>
        <v>70387.096774193546</v>
      </c>
      <c r="G53">
        <f t="shared" si="3"/>
        <v>15.471585701191568</v>
      </c>
    </row>
    <row r="54" spans="1:7" x14ac:dyDescent="0.2">
      <c r="A54">
        <v>1890</v>
      </c>
      <c r="B54" s="20">
        <v>2189</v>
      </c>
      <c r="C54">
        <f t="shared" si="1"/>
        <v>31.031371545547596</v>
      </c>
      <c r="D54" s="20">
        <v>1954</v>
      </c>
      <c r="E54">
        <v>27.7</v>
      </c>
      <c r="F54" s="32">
        <f t="shared" si="2"/>
        <v>70541.516245487364</v>
      </c>
      <c r="G54">
        <f t="shared" si="3"/>
        <v>3.3313715455475972</v>
      </c>
    </row>
    <row r="55" spans="1:7" x14ac:dyDescent="0.2">
      <c r="A55">
        <v>1891</v>
      </c>
      <c r="B55" s="20">
        <v>2358</v>
      </c>
      <c r="C55">
        <f t="shared" si="1"/>
        <v>33.153554502369666</v>
      </c>
      <c r="D55" s="20">
        <v>1266</v>
      </c>
      <c r="E55">
        <v>17.8</v>
      </c>
      <c r="F55" s="32">
        <f t="shared" si="2"/>
        <v>71123.595505617981</v>
      </c>
      <c r="G55">
        <f t="shared" si="3"/>
        <v>15.353554502369665</v>
      </c>
    </row>
    <row r="56" spans="1:7" x14ac:dyDescent="0.2">
      <c r="A56">
        <v>1892</v>
      </c>
      <c r="B56" s="20">
        <v>2262</v>
      </c>
      <c r="C56">
        <f t="shared" si="1"/>
        <v>31.382702702702701</v>
      </c>
      <c r="D56" s="20">
        <v>1110</v>
      </c>
      <c r="E56">
        <v>15.4</v>
      </c>
      <c r="F56" s="32">
        <f t="shared" si="2"/>
        <v>72077.922077922078</v>
      </c>
      <c r="G56">
        <f t="shared" si="3"/>
        <v>15.982702702702701</v>
      </c>
    </row>
    <row r="57" spans="1:7" x14ac:dyDescent="0.2">
      <c r="A57">
        <v>1893</v>
      </c>
      <c r="B57" s="20">
        <v>2313</v>
      </c>
      <c r="C57">
        <f t="shared" si="1"/>
        <v>31.763028169014078</v>
      </c>
      <c r="D57" s="20">
        <v>1136</v>
      </c>
      <c r="E57">
        <v>15.6</v>
      </c>
      <c r="F57" s="32">
        <f t="shared" si="2"/>
        <v>72820.512820512828</v>
      </c>
      <c r="G57">
        <f t="shared" si="3"/>
        <v>16.163028169014076</v>
      </c>
    </row>
    <row r="58" spans="1:7" x14ac:dyDescent="0.2">
      <c r="A58">
        <v>1894</v>
      </c>
      <c r="B58" s="20">
        <v>2168</v>
      </c>
      <c r="C58">
        <f t="shared" si="1"/>
        <v>29.715591090805255</v>
      </c>
      <c r="D58" s="20">
        <v>1751</v>
      </c>
      <c r="E58">
        <v>24</v>
      </c>
      <c r="F58" s="32">
        <f t="shared" si="2"/>
        <v>72958.333333333328</v>
      </c>
      <c r="G58">
        <f t="shared" si="3"/>
        <v>5.7155910908052547</v>
      </c>
    </row>
    <row r="59" spans="1:7" x14ac:dyDescent="0.2">
      <c r="A59">
        <v>1895</v>
      </c>
      <c r="B59" s="20">
        <v>2477</v>
      </c>
      <c r="C59">
        <f t="shared" si="1"/>
        <v>33.430525362318839</v>
      </c>
      <c r="D59" s="20">
        <v>1104</v>
      </c>
      <c r="E59">
        <v>14.9</v>
      </c>
      <c r="F59" s="32">
        <f t="shared" si="2"/>
        <v>74093.959731543626</v>
      </c>
      <c r="G59">
        <f t="shared" si="3"/>
        <v>18.530525362318841</v>
      </c>
    </row>
    <row r="60" spans="1:7" x14ac:dyDescent="0.2">
      <c r="A60">
        <v>1896</v>
      </c>
      <c r="B60" s="20">
        <v>2352</v>
      </c>
      <c r="C60">
        <f t="shared" si="1"/>
        <v>31.215483870967745</v>
      </c>
      <c r="D60" s="20">
        <v>1085</v>
      </c>
      <c r="E60">
        <v>14.4</v>
      </c>
      <c r="F60" s="32">
        <f t="shared" si="2"/>
        <v>75347.222222222219</v>
      </c>
      <c r="G60">
        <f t="shared" si="3"/>
        <v>16.815483870967746</v>
      </c>
    </row>
    <row r="61" spans="1:7" x14ac:dyDescent="0.2">
      <c r="A61">
        <v>1897</v>
      </c>
      <c r="B61" s="20">
        <v>2380</v>
      </c>
      <c r="C61">
        <f t="shared" si="1"/>
        <v>31.273942093541201</v>
      </c>
      <c r="D61" s="20">
        <v>1347</v>
      </c>
      <c r="E61">
        <v>17.7</v>
      </c>
      <c r="F61" s="32">
        <f t="shared" si="2"/>
        <v>76101.694915254237</v>
      </c>
      <c r="G61">
        <f t="shared" si="3"/>
        <v>13.573942093541202</v>
      </c>
    </row>
    <row r="62" spans="1:7" x14ac:dyDescent="0.2">
      <c r="A62">
        <v>1898</v>
      </c>
      <c r="B62" s="20">
        <v>2290</v>
      </c>
      <c r="C62">
        <f t="shared" si="1"/>
        <v>29.81479217603912</v>
      </c>
      <c r="D62" s="20">
        <v>1636</v>
      </c>
      <c r="E62">
        <v>21.3</v>
      </c>
      <c r="F62" s="32">
        <f t="shared" si="2"/>
        <v>76807.511737089197</v>
      </c>
      <c r="G62">
        <f t="shared" si="3"/>
        <v>8.5147921760391192</v>
      </c>
    </row>
    <row r="63" spans="1:7" x14ac:dyDescent="0.2">
      <c r="A63">
        <v>1899</v>
      </c>
      <c r="B63" s="20">
        <v>2243</v>
      </c>
      <c r="C63">
        <f t="shared" si="1"/>
        <v>28.904639175257731</v>
      </c>
      <c r="D63" s="20">
        <v>1358</v>
      </c>
      <c r="E63">
        <v>17.5</v>
      </c>
      <c r="F63" s="32">
        <f t="shared" si="2"/>
        <v>77600</v>
      </c>
      <c r="G63">
        <f t="shared" si="3"/>
        <v>11.404639175257731</v>
      </c>
    </row>
    <row r="64" spans="1:7" x14ac:dyDescent="0.2">
      <c r="A64">
        <v>1900</v>
      </c>
      <c r="B64" s="20">
        <v>2237</v>
      </c>
      <c r="C64">
        <f t="shared" si="1"/>
        <v>28.668349514563111</v>
      </c>
      <c r="D64" s="20">
        <v>1545</v>
      </c>
      <c r="E64">
        <v>19.8</v>
      </c>
      <c r="F64" s="32">
        <f t="shared" si="2"/>
        <v>78030.303030303025</v>
      </c>
      <c r="G64">
        <f t="shared" si="3"/>
        <v>8.8683495145631106</v>
      </c>
    </row>
    <row r="65" spans="1:7" x14ac:dyDescent="0.2">
      <c r="A65">
        <v>1901</v>
      </c>
      <c r="B65" s="20">
        <v>2179</v>
      </c>
      <c r="C65">
        <f t="shared" si="1"/>
        <v>27.732727272727271</v>
      </c>
      <c r="D65" s="20">
        <v>1155</v>
      </c>
      <c r="E65">
        <v>14.7</v>
      </c>
      <c r="F65" s="32">
        <f t="shared" si="2"/>
        <v>78571.42857142858</v>
      </c>
      <c r="G65">
        <f t="shared" si="3"/>
        <v>13.032727272727271</v>
      </c>
    </row>
    <row r="66" spans="1:7" x14ac:dyDescent="0.2">
      <c r="A66">
        <v>1902</v>
      </c>
      <c r="B66" s="20">
        <v>2220</v>
      </c>
      <c r="C66">
        <f t="shared" si="1"/>
        <v>28.14580031695721</v>
      </c>
      <c r="D66" s="20">
        <v>1262</v>
      </c>
      <c r="E66">
        <v>16</v>
      </c>
      <c r="F66" s="32">
        <f t="shared" si="2"/>
        <v>78875</v>
      </c>
      <c r="G66">
        <f t="shared" si="3"/>
        <v>12.14580031695721</v>
      </c>
    </row>
    <row r="67" spans="1:7" x14ac:dyDescent="0.2">
      <c r="A67">
        <v>1903</v>
      </c>
      <c r="B67" s="20">
        <v>2244</v>
      </c>
      <c r="C67">
        <f t="shared" si="1"/>
        <v>28.304229607250754</v>
      </c>
      <c r="D67" s="20">
        <v>1324</v>
      </c>
      <c r="E67">
        <v>16.7</v>
      </c>
      <c r="F67" s="32">
        <f t="shared" si="2"/>
        <v>79281.437125748504</v>
      </c>
      <c r="G67">
        <f t="shared" si="3"/>
        <v>11.604229607250755</v>
      </c>
    </row>
    <row r="68" spans="1:7" x14ac:dyDescent="0.2">
      <c r="A68">
        <v>1904</v>
      </c>
      <c r="B68" s="20">
        <v>2293</v>
      </c>
      <c r="C68">
        <f t="shared" si="1"/>
        <v>28.616344605475039</v>
      </c>
      <c r="D68" s="20">
        <v>1242</v>
      </c>
      <c r="E68">
        <v>15.5</v>
      </c>
      <c r="F68" s="32">
        <f t="shared" si="2"/>
        <v>80129.032258064515</v>
      </c>
      <c r="G68">
        <f t="shared" si="3"/>
        <v>13.116344605475039</v>
      </c>
    </row>
    <row r="69" spans="1:7" x14ac:dyDescent="0.2">
      <c r="A69">
        <v>1905</v>
      </c>
      <c r="B69" s="20">
        <v>2271</v>
      </c>
      <c r="C69">
        <f t="shared" si="1"/>
        <v>28.169895470383274</v>
      </c>
      <c r="D69" s="20">
        <v>1435</v>
      </c>
      <c r="E69">
        <v>17.8</v>
      </c>
      <c r="F69" s="32">
        <f t="shared" si="2"/>
        <v>80617.97752808989</v>
      </c>
      <c r="G69">
        <f t="shared" ref="G69:G100" si="4">C69-E69</f>
        <v>10.369895470383273</v>
      </c>
    </row>
    <row r="70" spans="1:7" x14ac:dyDescent="0.2">
      <c r="A70">
        <v>1906</v>
      </c>
      <c r="B70" s="20">
        <v>2346</v>
      </c>
      <c r="C70">
        <f t="shared" ref="C70:C114" si="5">(B70/F70)*1000</f>
        <v>28.710477787091371</v>
      </c>
      <c r="D70" s="20">
        <v>1193</v>
      </c>
      <c r="E70">
        <v>14.6</v>
      </c>
      <c r="F70" s="32">
        <f t="shared" ref="F70:F114" si="6">(1000*D70)/E70</f>
        <v>81712.328767123283</v>
      </c>
      <c r="G70">
        <f t="shared" si="4"/>
        <v>14.110477787091371</v>
      </c>
    </row>
    <row r="71" spans="1:7" x14ac:dyDescent="0.2">
      <c r="A71">
        <v>1907</v>
      </c>
      <c r="B71" s="20">
        <v>2304</v>
      </c>
      <c r="C71">
        <f t="shared" si="5"/>
        <v>27.892263610315183</v>
      </c>
      <c r="D71" s="20">
        <v>1396</v>
      </c>
      <c r="E71">
        <v>16.899999999999999</v>
      </c>
      <c r="F71" s="32">
        <f t="shared" si="6"/>
        <v>82603.550295857989</v>
      </c>
      <c r="G71">
        <f t="shared" si="4"/>
        <v>10.992263610315185</v>
      </c>
    </row>
    <row r="72" spans="1:7" x14ac:dyDescent="0.2">
      <c r="A72">
        <v>1908</v>
      </c>
      <c r="B72" s="20">
        <v>2270</v>
      </c>
      <c r="C72">
        <f t="shared" si="5"/>
        <v>27.200125470514433</v>
      </c>
      <c r="D72" s="20">
        <v>1594</v>
      </c>
      <c r="E72">
        <v>19.100000000000001</v>
      </c>
      <c r="F72" s="32">
        <f t="shared" si="6"/>
        <v>83455.497382198941</v>
      </c>
      <c r="G72">
        <f t="shared" si="4"/>
        <v>8.1001254705144312</v>
      </c>
    </row>
    <row r="73" spans="1:7" x14ac:dyDescent="0.2">
      <c r="A73">
        <v>1909</v>
      </c>
      <c r="B73" s="20">
        <v>2283</v>
      </c>
      <c r="C73">
        <f t="shared" si="5"/>
        <v>27.114014251781473</v>
      </c>
      <c r="D73" s="20">
        <v>1263</v>
      </c>
      <c r="E73">
        <v>15</v>
      </c>
      <c r="F73" s="32">
        <f t="shared" si="6"/>
        <v>84200</v>
      </c>
      <c r="G73">
        <f t="shared" si="4"/>
        <v>12.114014251781473</v>
      </c>
    </row>
    <row r="74" spans="1:7" x14ac:dyDescent="0.2">
      <c r="A74">
        <v>1910</v>
      </c>
      <c r="B74" s="20">
        <v>2171</v>
      </c>
      <c r="C74">
        <f t="shared" si="5"/>
        <v>25.63911042944785</v>
      </c>
      <c r="D74" s="20">
        <v>1304</v>
      </c>
      <c r="E74">
        <v>15.4</v>
      </c>
      <c r="F74" s="32">
        <f t="shared" si="6"/>
        <v>84675.324675324679</v>
      </c>
      <c r="G74">
        <f t="shared" si="4"/>
        <v>10.23911042944785</v>
      </c>
    </row>
    <row r="75" spans="1:7" x14ac:dyDescent="0.2">
      <c r="A75">
        <v>1911</v>
      </c>
      <c r="B75" s="20">
        <v>2205</v>
      </c>
      <c r="C75">
        <f t="shared" si="5"/>
        <v>25.83984375</v>
      </c>
      <c r="D75" s="20">
        <v>1152</v>
      </c>
      <c r="E75">
        <v>13.5</v>
      </c>
      <c r="F75" s="32">
        <f t="shared" si="6"/>
        <v>85333.333333333328</v>
      </c>
      <c r="G75">
        <f t="shared" si="4"/>
        <v>12.33984375</v>
      </c>
    </row>
    <row r="76" spans="1:7" x14ac:dyDescent="0.2">
      <c r="A76">
        <v>1912</v>
      </c>
      <c r="B76" s="20">
        <v>2234</v>
      </c>
      <c r="C76">
        <f t="shared" si="5"/>
        <v>25.945687446626813</v>
      </c>
      <c r="D76" s="20">
        <v>1171</v>
      </c>
      <c r="E76">
        <v>13.6</v>
      </c>
      <c r="F76" s="32">
        <f t="shared" si="6"/>
        <v>86102.941176470587</v>
      </c>
      <c r="G76">
        <f t="shared" si="4"/>
        <v>12.345687446626814</v>
      </c>
    </row>
    <row r="77" spans="1:7" x14ac:dyDescent="0.2">
      <c r="A77">
        <v>1913</v>
      </c>
      <c r="B77" s="20">
        <v>2216</v>
      </c>
      <c r="C77">
        <f t="shared" si="5"/>
        <v>25.504905660377354</v>
      </c>
      <c r="D77" s="20">
        <v>1060</v>
      </c>
      <c r="E77">
        <v>12.2</v>
      </c>
      <c r="F77" s="32">
        <f t="shared" si="6"/>
        <v>86885.245901639355</v>
      </c>
      <c r="G77">
        <f t="shared" si="4"/>
        <v>13.304905660377354</v>
      </c>
    </row>
    <row r="78" spans="1:7" x14ac:dyDescent="0.2">
      <c r="A78">
        <v>1914</v>
      </c>
      <c r="B78" s="20">
        <v>2338</v>
      </c>
      <c r="C78">
        <f t="shared" si="5"/>
        <v>26.687254901960785</v>
      </c>
      <c r="D78" s="20">
        <v>1428</v>
      </c>
      <c r="E78">
        <v>16.3</v>
      </c>
      <c r="F78" s="32">
        <f t="shared" si="6"/>
        <v>87607.361963190182</v>
      </c>
      <c r="G78">
        <f t="shared" si="4"/>
        <v>10.387254901960784</v>
      </c>
    </row>
    <row r="79" spans="1:7" x14ac:dyDescent="0.2">
      <c r="A79">
        <v>1915</v>
      </c>
      <c r="B79" s="20">
        <v>2446</v>
      </c>
      <c r="C79">
        <f t="shared" si="5"/>
        <v>27.553052325581397</v>
      </c>
      <c r="D79" s="20">
        <v>1376</v>
      </c>
      <c r="E79">
        <v>15.5</v>
      </c>
      <c r="F79" s="32">
        <f t="shared" si="6"/>
        <v>88774.193548387091</v>
      </c>
      <c r="G79">
        <f t="shared" si="4"/>
        <v>12.053052325581397</v>
      </c>
    </row>
    <row r="80" spans="1:7" x14ac:dyDescent="0.2">
      <c r="A80">
        <v>1916</v>
      </c>
      <c r="B80" s="20">
        <v>2377</v>
      </c>
      <c r="C80">
        <f t="shared" si="5"/>
        <v>26.610892586989412</v>
      </c>
      <c r="D80" s="20">
        <v>1322</v>
      </c>
      <c r="E80">
        <v>14.8</v>
      </c>
      <c r="F80" s="32">
        <f t="shared" si="6"/>
        <v>89324.32432432432</v>
      </c>
      <c r="G80">
        <f t="shared" si="4"/>
        <v>11.810892586989411</v>
      </c>
    </row>
    <row r="81" spans="1:7" x14ac:dyDescent="0.2">
      <c r="A81">
        <v>1917</v>
      </c>
      <c r="B81" s="20">
        <v>2427</v>
      </c>
      <c r="C81">
        <f t="shared" si="5"/>
        <v>26.869576957695774</v>
      </c>
      <c r="D81" s="20">
        <v>1111</v>
      </c>
      <c r="E81">
        <v>12.3</v>
      </c>
      <c r="F81" s="32">
        <f t="shared" si="6"/>
        <v>90325.203252032516</v>
      </c>
      <c r="G81">
        <f t="shared" si="4"/>
        <v>14.569576957695773</v>
      </c>
    </row>
    <row r="82" spans="1:7" x14ac:dyDescent="0.2">
      <c r="A82">
        <v>1918</v>
      </c>
      <c r="B82" s="20">
        <v>2441</v>
      </c>
      <c r="C82">
        <f t="shared" si="5"/>
        <v>26.693412384716737</v>
      </c>
      <c r="D82" s="20">
        <v>1518</v>
      </c>
      <c r="E82">
        <v>16.600000000000001</v>
      </c>
      <c r="F82" s="32">
        <f t="shared" si="6"/>
        <v>91445.783132530109</v>
      </c>
      <c r="G82">
        <f t="shared" si="4"/>
        <v>10.093412384716736</v>
      </c>
    </row>
    <row r="83" spans="1:7" x14ac:dyDescent="0.2">
      <c r="A83">
        <v>1919</v>
      </c>
      <c r="B83" s="20">
        <v>2342</v>
      </c>
      <c r="C83">
        <f t="shared" si="5"/>
        <v>25.443455945252349</v>
      </c>
      <c r="D83" s="20">
        <v>1169</v>
      </c>
      <c r="E83">
        <v>12.7</v>
      </c>
      <c r="F83" s="32">
        <f t="shared" si="6"/>
        <v>92047.244094488196</v>
      </c>
      <c r="G83">
        <f t="shared" si="4"/>
        <v>12.74345594525235</v>
      </c>
    </row>
    <row r="84" spans="1:7" x14ac:dyDescent="0.2">
      <c r="A84">
        <v>1920</v>
      </c>
      <c r="B84" s="20">
        <v>2627</v>
      </c>
      <c r="C84">
        <f t="shared" si="5"/>
        <v>28.008455882352941</v>
      </c>
      <c r="D84" s="20">
        <v>1360</v>
      </c>
      <c r="E84">
        <v>14.5</v>
      </c>
      <c r="F84" s="32">
        <f t="shared" si="6"/>
        <v>93793.103448275855</v>
      </c>
      <c r="G84">
        <f t="shared" si="4"/>
        <v>13.508455882352941</v>
      </c>
    </row>
    <row r="85" spans="1:7" x14ac:dyDescent="0.2">
      <c r="A85">
        <v>1921</v>
      </c>
      <c r="B85" s="20">
        <v>2601</v>
      </c>
      <c r="C85">
        <f t="shared" si="5"/>
        <v>27.453044654939106</v>
      </c>
      <c r="D85" s="20">
        <v>1478</v>
      </c>
      <c r="E85">
        <v>15.6</v>
      </c>
      <c r="F85" s="32">
        <f t="shared" si="6"/>
        <v>94743.58974358975</v>
      </c>
      <c r="G85">
        <f t="shared" si="4"/>
        <v>11.853044654939106</v>
      </c>
    </row>
    <row r="86" spans="1:7" x14ac:dyDescent="0.2">
      <c r="A86">
        <v>1922</v>
      </c>
      <c r="B86" s="20">
        <v>2546</v>
      </c>
      <c r="C86">
        <f t="shared" si="5"/>
        <v>26.653437499999999</v>
      </c>
      <c r="D86" s="20">
        <v>1280</v>
      </c>
      <c r="E86">
        <v>13.4</v>
      </c>
      <c r="F86" s="32">
        <f t="shared" si="6"/>
        <v>95522.388059701494</v>
      </c>
      <c r="G86">
        <f t="shared" si="4"/>
        <v>13.253437499999999</v>
      </c>
    </row>
    <row r="87" spans="1:7" x14ac:dyDescent="0.2">
      <c r="A87">
        <v>1923</v>
      </c>
      <c r="B87" s="20">
        <v>2612</v>
      </c>
      <c r="C87">
        <f t="shared" si="5"/>
        <v>26.992696192696194</v>
      </c>
      <c r="D87" s="20">
        <v>1287</v>
      </c>
      <c r="E87">
        <v>13.3</v>
      </c>
      <c r="F87" s="32">
        <f t="shared" si="6"/>
        <v>96766.917293233084</v>
      </c>
      <c r="G87">
        <f t="shared" si="4"/>
        <v>13.692696192696193</v>
      </c>
    </row>
    <row r="88" spans="1:7" x14ac:dyDescent="0.2">
      <c r="A88">
        <v>1924</v>
      </c>
      <c r="B88" s="20">
        <v>2525</v>
      </c>
      <c r="C88">
        <f t="shared" si="5"/>
        <v>25.73358413132695</v>
      </c>
      <c r="D88" s="20">
        <v>1462</v>
      </c>
      <c r="E88">
        <v>14.9</v>
      </c>
      <c r="F88" s="32">
        <f t="shared" si="6"/>
        <v>98120.805369127513</v>
      </c>
      <c r="G88">
        <f t="shared" si="4"/>
        <v>10.833584131326949</v>
      </c>
    </row>
    <row r="89" spans="1:7" x14ac:dyDescent="0.2">
      <c r="A89">
        <v>1925</v>
      </c>
      <c r="B89" s="20">
        <v>2554</v>
      </c>
      <c r="C89">
        <f t="shared" si="5"/>
        <v>25.768592351505287</v>
      </c>
      <c r="D89" s="20">
        <v>1229</v>
      </c>
      <c r="E89">
        <v>12.4</v>
      </c>
      <c r="F89" s="32">
        <f t="shared" si="6"/>
        <v>99112.903225806454</v>
      </c>
      <c r="G89">
        <f t="shared" si="4"/>
        <v>13.368592351505287</v>
      </c>
    </row>
    <row r="90" spans="1:7" x14ac:dyDescent="0.2">
      <c r="A90">
        <v>1926</v>
      </c>
      <c r="B90" s="20">
        <v>2676</v>
      </c>
      <c r="C90">
        <f t="shared" si="5"/>
        <v>26.497413024085638</v>
      </c>
      <c r="D90" s="20">
        <v>1121</v>
      </c>
      <c r="E90">
        <v>11.1</v>
      </c>
      <c r="F90" s="32">
        <f t="shared" si="6"/>
        <v>100990.99099099099</v>
      </c>
      <c r="G90">
        <f t="shared" si="4"/>
        <v>15.397413024085639</v>
      </c>
    </row>
    <row r="91" spans="1:7" x14ac:dyDescent="0.2">
      <c r="A91">
        <v>1927</v>
      </c>
      <c r="B91" s="20">
        <v>2642</v>
      </c>
      <c r="C91">
        <f t="shared" si="5"/>
        <v>25.760530421216849</v>
      </c>
      <c r="D91" s="20">
        <v>1282</v>
      </c>
      <c r="E91">
        <v>12.5</v>
      </c>
      <c r="F91" s="32">
        <f t="shared" si="6"/>
        <v>102560</v>
      </c>
      <c r="G91">
        <f t="shared" si="4"/>
        <v>13.260530421216849</v>
      </c>
    </row>
    <row r="92" spans="1:7" x14ac:dyDescent="0.2">
      <c r="A92">
        <v>1928</v>
      </c>
      <c r="B92" s="20">
        <v>2542</v>
      </c>
      <c r="C92">
        <f t="shared" si="5"/>
        <v>24.424911032028472</v>
      </c>
      <c r="D92" s="20">
        <v>1124</v>
      </c>
      <c r="E92">
        <v>10.8</v>
      </c>
      <c r="F92" s="32">
        <f t="shared" si="6"/>
        <v>104074.07407407407</v>
      </c>
      <c r="G92">
        <f t="shared" si="4"/>
        <v>13.624911032028471</v>
      </c>
    </row>
    <row r="93" spans="1:7" x14ac:dyDescent="0.2">
      <c r="A93">
        <v>1929</v>
      </c>
      <c r="B93" s="20">
        <v>2644</v>
      </c>
      <c r="C93">
        <f t="shared" si="5"/>
        <v>25.007922392886012</v>
      </c>
      <c r="D93" s="20">
        <v>1237</v>
      </c>
      <c r="E93">
        <v>11.7</v>
      </c>
      <c r="F93" s="32">
        <f t="shared" si="6"/>
        <v>105726.49572649573</v>
      </c>
      <c r="G93">
        <f t="shared" si="4"/>
        <v>13.307922392886013</v>
      </c>
    </row>
    <row r="94" spans="1:7" x14ac:dyDescent="0.2">
      <c r="A94">
        <v>1930</v>
      </c>
      <c r="B94" s="20">
        <v>2808</v>
      </c>
      <c r="C94">
        <f t="shared" si="5"/>
        <v>26.099999999999998</v>
      </c>
      <c r="D94" s="20">
        <v>1248</v>
      </c>
      <c r="E94">
        <v>11.6</v>
      </c>
      <c r="F94" s="32">
        <f t="shared" si="6"/>
        <v>107586.20689655172</v>
      </c>
      <c r="G94">
        <f t="shared" si="4"/>
        <v>14.499999999999998</v>
      </c>
    </row>
    <row r="95" spans="1:7" x14ac:dyDescent="0.2">
      <c r="A95">
        <v>1931</v>
      </c>
      <c r="B95" s="20">
        <v>2804</v>
      </c>
      <c r="C95">
        <f t="shared" si="5"/>
        <v>25.690524667188722</v>
      </c>
      <c r="D95" s="20">
        <v>1277</v>
      </c>
      <c r="E95">
        <v>11.7</v>
      </c>
      <c r="F95" s="32">
        <f t="shared" si="6"/>
        <v>109145.29914529916</v>
      </c>
      <c r="G95">
        <f t="shared" si="4"/>
        <v>13.990524667188723</v>
      </c>
    </row>
    <row r="96" spans="1:7" x14ac:dyDescent="0.2">
      <c r="A96">
        <v>1932</v>
      </c>
      <c r="B96" s="20">
        <v>2696</v>
      </c>
      <c r="C96">
        <f t="shared" si="5"/>
        <v>24.447355163727963</v>
      </c>
      <c r="D96" s="20">
        <v>1191</v>
      </c>
      <c r="E96">
        <v>10.8</v>
      </c>
      <c r="F96" s="32">
        <f t="shared" si="6"/>
        <v>110277.77777777777</v>
      </c>
      <c r="G96">
        <f t="shared" si="4"/>
        <v>13.647355163727962</v>
      </c>
    </row>
    <row r="97" spans="1:7" x14ac:dyDescent="0.2">
      <c r="A97">
        <v>1933</v>
      </c>
      <c r="B97" s="20">
        <v>2531</v>
      </c>
      <c r="C97">
        <f t="shared" si="5"/>
        <v>22.492924935289047</v>
      </c>
      <c r="D97" s="20">
        <v>1159</v>
      </c>
      <c r="E97">
        <v>10.3</v>
      </c>
      <c r="F97" s="32">
        <f t="shared" si="6"/>
        <v>112524.27184466018</v>
      </c>
      <c r="G97">
        <f t="shared" si="4"/>
        <v>12.192924935289046</v>
      </c>
    </row>
    <row r="98" spans="1:7" x14ac:dyDescent="0.2">
      <c r="A98">
        <v>1934</v>
      </c>
      <c r="B98" s="20">
        <v>2597</v>
      </c>
      <c r="C98">
        <f t="shared" si="5"/>
        <v>22.869432684165961</v>
      </c>
      <c r="D98" s="20">
        <v>1181</v>
      </c>
      <c r="E98">
        <v>10.4</v>
      </c>
      <c r="F98" s="32">
        <f t="shared" si="6"/>
        <v>113557.6923076923</v>
      </c>
      <c r="G98">
        <f t="shared" si="4"/>
        <v>12.469432684165961</v>
      </c>
    </row>
    <row r="99" spans="1:7" x14ac:dyDescent="0.2">
      <c r="A99">
        <v>1935</v>
      </c>
      <c r="B99" s="20">
        <v>2551</v>
      </c>
      <c r="C99">
        <f t="shared" si="5"/>
        <v>22.198430813124109</v>
      </c>
      <c r="D99" s="20">
        <v>1402</v>
      </c>
      <c r="E99">
        <v>12.2</v>
      </c>
      <c r="F99" s="32">
        <f t="shared" si="6"/>
        <v>114918.03278688525</v>
      </c>
      <c r="G99">
        <f t="shared" si="4"/>
        <v>9.9984308131241093</v>
      </c>
    </row>
    <row r="100" spans="1:7" x14ac:dyDescent="0.2">
      <c r="A100">
        <v>1936</v>
      </c>
      <c r="B100" s="20">
        <v>2557</v>
      </c>
      <c r="C100">
        <f t="shared" si="5"/>
        <v>22.039584996009577</v>
      </c>
      <c r="D100" s="20">
        <v>1253</v>
      </c>
      <c r="E100">
        <v>10.8</v>
      </c>
      <c r="F100" s="32">
        <f t="shared" si="6"/>
        <v>116018.51851851851</v>
      </c>
      <c r="G100">
        <f t="shared" si="4"/>
        <v>11.239584996009576</v>
      </c>
    </row>
    <row r="101" spans="1:7" x14ac:dyDescent="0.2">
      <c r="A101">
        <v>1937</v>
      </c>
      <c r="B101" s="20">
        <v>2397</v>
      </c>
      <c r="C101">
        <f t="shared" si="5"/>
        <v>20.384510250569473</v>
      </c>
      <c r="D101" s="20">
        <v>1317</v>
      </c>
      <c r="E101">
        <v>11.2</v>
      </c>
      <c r="F101" s="32">
        <f t="shared" si="6"/>
        <v>117589.28571428572</v>
      </c>
      <c r="G101">
        <f t="shared" ref="G101:G114" si="7">C101-E101</f>
        <v>9.184510250569474</v>
      </c>
    </row>
    <row r="102" spans="1:7" x14ac:dyDescent="0.2">
      <c r="A102">
        <v>1938</v>
      </c>
      <c r="B102" s="20">
        <v>2374</v>
      </c>
      <c r="C102">
        <f t="shared" si="5"/>
        <v>20.061971830985915</v>
      </c>
      <c r="D102" s="20">
        <v>1207</v>
      </c>
      <c r="E102">
        <v>10.199999999999999</v>
      </c>
      <c r="F102" s="32">
        <f t="shared" si="6"/>
        <v>118333.33333333334</v>
      </c>
      <c r="G102">
        <f t="shared" si="7"/>
        <v>9.8619718309859152</v>
      </c>
    </row>
    <row r="103" spans="1:7" x14ac:dyDescent="0.2">
      <c r="A103">
        <v>1939</v>
      </c>
      <c r="B103" s="20">
        <v>2363</v>
      </c>
      <c r="C103">
        <f t="shared" si="5"/>
        <v>19.759568965517239</v>
      </c>
      <c r="D103" s="20">
        <v>1160</v>
      </c>
      <c r="E103">
        <v>9.6999999999999993</v>
      </c>
      <c r="F103" s="32">
        <f t="shared" si="6"/>
        <v>119587.62886597939</v>
      </c>
      <c r="G103">
        <f t="shared" si="7"/>
        <v>10.05956896551724</v>
      </c>
    </row>
    <row r="104" spans="1:7" x14ac:dyDescent="0.2">
      <c r="A104">
        <v>1940</v>
      </c>
      <c r="B104" s="20">
        <v>2480</v>
      </c>
      <c r="C104">
        <f t="shared" si="5"/>
        <v>20.46</v>
      </c>
      <c r="D104" s="20">
        <v>1200</v>
      </c>
      <c r="E104">
        <v>9.9</v>
      </c>
      <c r="F104" s="32">
        <f t="shared" si="6"/>
        <v>121212.1212121212</v>
      </c>
      <c r="G104">
        <f t="shared" si="7"/>
        <v>10.56</v>
      </c>
    </row>
    <row r="105" spans="1:7" x14ac:dyDescent="0.2">
      <c r="A105">
        <v>1941</v>
      </c>
      <c r="B105" s="20">
        <v>2634</v>
      </c>
      <c r="C105">
        <f t="shared" si="5"/>
        <v>21.625295857988167</v>
      </c>
      <c r="D105" s="20">
        <v>1352</v>
      </c>
      <c r="E105">
        <v>11.1</v>
      </c>
      <c r="F105" s="32">
        <f t="shared" si="6"/>
        <v>121801.8018018018</v>
      </c>
      <c r="G105">
        <f t="shared" si="7"/>
        <v>10.525295857988167</v>
      </c>
    </row>
    <row r="106" spans="1:7" x14ac:dyDescent="0.2">
      <c r="A106">
        <v>1942</v>
      </c>
      <c r="B106" s="20">
        <v>3005</v>
      </c>
      <c r="C106">
        <f t="shared" si="5"/>
        <v>24.402552204176335</v>
      </c>
      <c r="D106" s="20">
        <v>1293</v>
      </c>
      <c r="E106">
        <v>10.5</v>
      </c>
      <c r="F106" s="32">
        <f t="shared" si="6"/>
        <v>123142.85714285714</v>
      </c>
      <c r="G106">
        <f t="shared" si="7"/>
        <v>13.902552204176335</v>
      </c>
    </row>
    <row r="107" spans="1:7" x14ac:dyDescent="0.2">
      <c r="A107">
        <v>1943</v>
      </c>
      <c r="B107" s="20">
        <v>3173</v>
      </c>
      <c r="C107">
        <f t="shared" si="5"/>
        <v>25.273895899053624</v>
      </c>
      <c r="D107" s="20">
        <v>1268</v>
      </c>
      <c r="E107">
        <v>10.1</v>
      </c>
      <c r="F107" s="32">
        <f t="shared" si="6"/>
        <v>125544.55445544556</v>
      </c>
      <c r="G107">
        <f t="shared" si="7"/>
        <v>15.173895899053624</v>
      </c>
    </row>
    <row r="108" spans="1:7" x14ac:dyDescent="0.2">
      <c r="A108">
        <v>1944</v>
      </c>
      <c r="B108" s="20">
        <v>3213</v>
      </c>
      <c r="C108">
        <f t="shared" si="5"/>
        <v>25.324137931034482</v>
      </c>
      <c r="D108" s="20">
        <v>1218</v>
      </c>
      <c r="E108">
        <v>9.6</v>
      </c>
      <c r="F108" s="32">
        <f t="shared" si="6"/>
        <v>126875</v>
      </c>
      <c r="G108">
        <f t="shared" si="7"/>
        <v>15.724137931034482</v>
      </c>
    </row>
    <row r="109" spans="1:7" x14ac:dyDescent="0.2">
      <c r="A109">
        <v>1945</v>
      </c>
      <c r="B109" s="20">
        <v>3434</v>
      </c>
      <c r="C109">
        <f t="shared" si="5"/>
        <v>26.505004240882101</v>
      </c>
      <c r="D109" s="20">
        <v>1179</v>
      </c>
      <c r="E109">
        <v>9.1</v>
      </c>
      <c r="F109" s="32">
        <f t="shared" si="6"/>
        <v>129560.43956043957</v>
      </c>
      <c r="G109">
        <f t="shared" si="7"/>
        <v>17.4050042408821</v>
      </c>
    </row>
    <row r="110" spans="1:7" x14ac:dyDescent="0.2">
      <c r="A110">
        <v>1946</v>
      </c>
      <c r="B110" s="20">
        <v>3434</v>
      </c>
      <c r="C110">
        <f t="shared" si="5"/>
        <v>26.038358608385369</v>
      </c>
      <c r="D110" s="20">
        <v>1121</v>
      </c>
      <c r="E110">
        <v>8.5</v>
      </c>
      <c r="F110" s="32">
        <f t="shared" si="6"/>
        <v>131882.35294117648</v>
      </c>
      <c r="G110">
        <f t="shared" si="7"/>
        <v>17.538358608385369</v>
      </c>
    </row>
    <row r="111" spans="1:7" x14ac:dyDescent="0.2">
      <c r="A111">
        <v>1947</v>
      </c>
      <c r="B111" s="20">
        <v>3706</v>
      </c>
      <c r="C111">
        <f t="shared" si="5"/>
        <v>27.428227194492251</v>
      </c>
      <c r="D111" s="20">
        <v>1162</v>
      </c>
      <c r="E111">
        <v>8.6</v>
      </c>
      <c r="F111" s="32">
        <f t="shared" si="6"/>
        <v>135116.27906976745</v>
      </c>
      <c r="G111">
        <f t="shared" si="7"/>
        <v>18.82822719449225</v>
      </c>
    </row>
    <row r="112" spans="1:7" x14ac:dyDescent="0.2">
      <c r="A112">
        <v>1948</v>
      </c>
      <c r="B112" s="20">
        <v>3821</v>
      </c>
      <c r="C112">
        <f t="shared" si="5"/>
        <v>27.782854578096948</v>
      </c>
      <c r="D112" s="20">
        <v>1114</v>
      </c>
      <c r="E112">
        <v>8.1</v>
      </c>
      <c r="F112" s="32">
        <f t="shared" si="6"/>
        <v>137530.86419753087</v>
      </c>
      <c r="G112">
        <f t="shared" si="7"/>
        <v>19.682854578096951</v>
      </c>
    </row>
    <row r="113" spans="1:7" x14ac:dyDescent="0.2">
      <c r="A113">
        <v>1949</v>
      </c>
      <c r="B113" s="20">
        <v>3884</v>
      </c>
      <c r="C113">
        <f t="shared" si="5"/>
        <v>27.742857142857144</v>
      </c>
      <c r="D113" s="20">
        <v>1106</v>
      </c>
      <c r="E113">
        <v>7.9</v>
      </c>
      <c r="F113" s="32">
        <f t="shared" si="6"/>
        <v>140000</v>
      </c>
      <c r="G113">
        <f t="shared" si="7"/>
        <v>19.842857142857142</v>
      </c>
    </row>
    <row r="114" spans="1:7" x14ac:dyDescent="0.2">
      <c r="A114">
        <v>1950</v>
      </c>
      <c r="B114" s="20">
        <v>4093</v>
      </c>
      <c r="C114">
        <f t="shared" si="5"/>
        <v>28.818805704099827</v>
      </c>
      <c r="D114" s="20">
        <v>1122</v>
      </c>
      <c r="E114">
        <v>7.9</v>
      </c>
      <c r="F114" s="32">
        <f t="shared" si="6"/>
        <v>142025.31645569619</v>
      </c>
      <c r="G114">
        <f t="shared" si="7"/>
        <v>20.918805704099825</v>
      </c>
    </row>
    <row r="117" spans="1:7" x14ac:dyDescent="0.2">
      <c r="A117" s="13" t="s">
        <v>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B4E8-DF61-2848-88DB-C748FF86F897}">
  <dimension ref="A1:D15"/>
  <sheetViews>
    <sheetView workbookViewId="0">
      <selection activeCell="E11" sqref="E11"/>
    </sheetView>
  </sheetViews>
  <sheetFormatPr baseColWidth="10" defaultRowHeight="15" x14ac:dyDescent="0.2"/>
  <sheetData>
    <row r="1" spans="1:4" s="13" customFormat="1" x14ac:dyDescent="0.2">
      <c r="A1" s="13" t="s">
        <v>260</v>
      </c>
      <c r="B1" s="13" t="s">
        <v>241</v>
      </c>
      <c r="C1" s="13" t="s">
        <v>242</v>
      </c>
      <c r="D1" s="13" t="s">
        <v>243</v>
      </c>
    </row>
    <row r="2" spans="1:4" x14ac:dyDescent="0.2">
      <c r="A2">
        <v>2011</v>
      </c>
      <c r="B2" s="34">
        <v>8.48</v>
      </c>
      <c r="C2" s="34">
        <v>6.5930059983355296</v>
      </c>
      <c r="D2" s="35">
        <f>B2-C2</f>
        <v>1.8869940016644708</v>
      </c>
    </row>
    <row r="3" spans="1:4" x14ac:dyDescent="0.2">
      <c r="A3">
        <v>2012</v>
      </c>
      <c r="D3" s="35"/>
    </row>
    <row r="4" spans="1:4" x14ac:dyDescent="0.2">
      <c r="A4">
        <v>2013</v>
      </c>
      <c r="D4" s="35"/>
    </row>
    <row r="5" spans="1:4" x14ac:dyDescent="0.2">
      <c r="A5">
        <v>2014</v>
      </c>
      <c r="D5" s="35"/>
    </row>
    <row r="6" spans="1:4" x14ac:dyDescent="0.2">
      <c r="A6">
        <v>2015</v>
      </c>
      <c r="B6" s="34">
        <v>9.1</v>
      </c>
      <c r="C6" s="34">
        <v>6.98</v>
      </c>
      <c r="D6" s="35">
        <f t="shared" ref="D3:D15" si="0">B6-C6</f>
        <v>2.1199999999999992</v>
      </c>
    </row>
    <row r="7" spans="1:4" x14ac:dyDescent="0.2">
      <c r="A7">
        <v>2016</v>
      </c>
      <c r="B7" s="34">
        <v>8.86</v>
      </c>
      <c r="C7" s="34">
        <v>7.33</v>
      </c>
      <c r="D7" s="35">
        <f t="shared" si="0"/>
        <v>1.5299999999999994</v>
      </c>
    </row>
    <row r="8" spans="1:4" x14ac:dyDescent="0.2">
      <c r="A8">
        <f>A7+1</f>
        <v>2017</v>
      </c>
      <c r="B8" s="34">
        <v>8.23</v>
      </c>
      <c r="C8" s="34">
        <v>7.27</v>
      </c>
      <c r="D8" s="35">
        <f t="shared" si="0"/>
        <v>0.96000000000000085</v>
      </c>
    </row>
    <row r="9" spans="1:4" x14ac:dyDescent="0.2">
      <c r="A9">
        <f t="shared" ref="A9:A15" si="1">A8+1</f>
        <v>2018</v>
      </c>
      <c r="B9" s="34">
        <v>7.7</v>
      </c>
      <c r="C9" s="34">
        <v>7.33</v>
      </c>
      <c r="D9" s="35">
        <f t="shared" si="0"/>
        <v>0.37000000000000011</v>
      </c>
    </row>
    <row r="10" spans="1:4" x14ac:dyDescent="0.2">
      <c r="A10">
        <f t="shared" si="1"/>
        <v>2019</v>
      </c>
      <c r="B10" s="34">
        <v>7.53</v>
      </c>
      <c r="C10" s="34">
        <v>7.47</v>
      </c>
      <c r="D10" s="35">
        <f t="shared" si="0"/>
        <v>6.0000000000000497E-2</v>
      </c>
    </row>
    <row r="11" spans="1:4" x14ac:dyDescent="0.2">
      <c r="A11">
        <f t="shared" si="1"/>
        <v>2020</v>
      </c>
      <c r="B11" s="34">
        <v>7.01</v>
      </c>
      <c r="C11" s="34">
        <v>7.34</v>
      </c>
      <c r="D11" s="35">
        <f>B11-C11</f>
        <v>-0.33000000000000007</v>
      </c>
    </row>
    <row r="12" spans="1:4" x14ac:dyDescent="0.2">
      <c r="A12">
        <f t="shared" si="1"/>
        <v>2021</v>
      </c>
      <c r="B12" s="34">
        <v>6.55</v>
      </c>
      <c r="C12" s="34">
        <v>7.83</v>
      </c>
      <c r="D12" s="35">
        <f t="shared" si="0"/>
        <v>-1.2800000000000002</v>
      </c>
    </row>
    <row r="13" spans="1:4" x14ac:dyDescent="0.2">
      <c r="A13">
        <f>A12+1</f>
        <v>2022</v>
      </c>
      <c r="B13" s="34">
        <v>5.96</v>
      </c>
      <c r="C13" s="34">
        <v>8.89</v>
      </c>
      <c r="D13" s="35">
        <f t="shared" si="0"/>
        <v>-2.9300000000000006</v>
      </c>
    </row>
    <row r="14" spans="1:4" x14ac:dyDescent="0.2">
      <c r="A14">
        <f t="shared" si="1"/>
        <v>2023</v>
      </c>
      <c r="B14" s="34">
        <v>5.81</v>
      </c>
      <c r="C14" s="34">
        <v>8.8000000000000007</v>
      </c>
      <c r="D14" s="35">
        <f t="shared" si="0"/>
        <v>-2.9900000000000011</v>
      </c>
    </row>
    <row r="15" spans="1:4" x14ac:dyDescent="0.2">
      <c r="A15">
        <f t="shared" si="1"/>
        <v>2024</v>
      </c>
      <c r="B15" s="34">
        <v>5.76</v>
      </c>
      <c r="C15" s="34">
        <v>8.6300000000000008</v>
      </c>
      <c r="D15" s="35">
        <f t="shared" si="0"/>
        <v>-2.870000000000001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ABA9-58E2-5142-A76B-7441AC7B15C8}">
  <dimension ref="A1:L14"/>
  <sheetViews>
    <sheetView tabSelected="1" workbookViewId="0">
      <selection activeCell="A32" sqref="A32"/>
    </sheetView>
  </sheetViews>
  <sheetFormatPr baseColWidth="10" defaultColWidth="8.83203125" defaultRowHeight="15" x14ac:dyDescent="0.2"/>
  <cols>
    <col min="1" max="1" width="29.83203125" bestFit="1" customWidth="1"/>
    <col min="2" max="2" width="15.83203125" customWidth="1"/>
    <col min="3" max="3" width="28" bestFit="1" customWidth="1"/>
    <col min="4" max="4" width="66" customWidth="1"/>
    <col min="5" max="12" width="50.83203125" customWidth="1"/>
  </cols>
  <sheetData>
    <row r="1" spans="1:12" s="11" customFormat="1" x14ac:dyDescent="0.2">
      <c r="A1" s="11" t="s">
        <v>0</v>
      </c>
      <c r="B1" s="11" t="s">
        <v>244</v>
      </c>
      <c r="C1" s="11" t="s">
        <v>326</v>
      </c>
      <c r="D1" s="11" t="s">
        <v>245</v>
      </c>
      <c r="E1" s="11" t="s">
        <v>246</v>
      </c>
      <c r="I1" s="11" t="s">
        <v>247</v>
      </c>
      <c r="J1" s="11" t="s">
        <v>248</v>
      </c>
      <c r="K1" s="11" t="s">
        <v>249</v>
      </c>
      <c r="L1" s="11" t="s">
        <v>250</v>
      </c>
    </row>
    <row r="2" spans="1:12" x14ac:dyDescent="0.2">
      <c r="A2" t="s">
        <v>278</v>
      </c>
      <c r="B2" t="s">
        <v>251</v>
      </c>
      <c r="C2" t="s">
        <v>280</v>
      </c>
      <c r="D2" t="s">
        <v>276</v>
      </c>
    </row>
    <row r="3" spans="1:12" x14ac:dyDescent="0.2">
      <c r="A3" t="s">
        <v>281</v>
      </c>
      <c r="B3" t="s">
        <v>251</v>
      </c>
      <c r="C3" t="s">
        <v>280</v>
      </c>
      <c r="D3" t="s">
        <v>276</v>
      </c>
    </row>
    <row r="4" spans="1:12" x14ac:dyDescent="0.2">
      <c r="A4" t="s">
        <v>279</v>
      </c>
      <c r="B4" t="s">
        <v>282</v>
      </c>
      <c r="C4" t="s">
        <v>242</v>
      </c>
      <c r="D4" t="s">
        <v>284</v>
      </c>
      <c r="E4" t="s">
        <v>283</v>
      </c>
    </row>
    <row r="5" spans="1:12" x14ac:dyDescent="0.2">
      <c r="A5" t="s">
        <v>278</v>
      </c>
      <c r="B5" t="s">
        <v>285</v>
      </c>
      <c r="C5" t="s">
        <v>288</v>
      </c>
      <c r="D5" t="s">
        <v>286</v>
      </c>
      <c r="E5" s="15" t="s">
        <v>287</v>
      </c>
    </row>
    <row r="6" spans="1:12" x14ac:dyDescent="0.2">
      <c r="A6" t="s">
        <v>279</v>
      </c>
      <c r="B6" t="s">
        <v>291</v>
      </c>
      <c r="C6" t="s">
        <v>288</v>
      </c>
      <c r="D6" t="s">
        <v>289</v>
      </c>
      <c r="E6" s="15" t="s">
        <v>290</v>
      </c>
    </row>
    <row r="7" spans="1:12" x14ac:dyDescent="0.2">
      <c r="A7" t="s">
        <v>104</v>
      </c>
      <c r="B7" t="s">
        <v>295</v>
      </c>
      <c r="C7" t="s">
        <v>296</v>
      </c>
      <c r="D7" t="s">
        <v>298</v>
      </c>
      <c r="E7" t="s">
        <v>297</v>
      </c>
    </row>
    <row r="8" spans="1:12" x14ac:dyDescent="0.2">
      <c r="A8" t="s">
        <v>104</v>
      </c>
      <c r="B8" t="s">
        <v>302</v>
      </c>
      <c r="C8" t="s">
        <v>303</v>
      </c>
      <c r="D8" t="s">
        <v>304</v>
      </c>
      <c r="E8" t="s">
        <v>305</v>
      </c>
    </row>
    <row r="9" spans="1:12" x14ac:dyDescent="0.2">
      <c r="A9" t="s">
        <v>211</v>
      </c>
      <c r="B9" t="s">
        <v>313</v>
      </c>
      <c r="C9" t="s">
        <v>280</v>
      </c>
      <c r="D9" t="s">
        <v>312</v>
      </c>
      <c r="E9" t="s">
        <v>311</v>
      </c>
    </row>
    <row r="10" spans="1:12" x14ac:dyDescent="0.2">
      <c r="A10" t="s">
        <v>317</v>
      </c>
      <c r="B10" t="s">
        <v>318</v>
      </c>
      <c r="C10" t="s">
        <v>280</v>
      </c>
      <c r="D10" s="14" t="s">
        <v>256</v>
      </c>
      <c r="E10" t="s">
        <v>254</v>
      </c>
    </row>
    <row r="11" spans="1:12" x14ac:dyDescent="0.2">
      <c r="A11" t="s">
        <v>319</v>
      </c>
      <c r="B11" t="s">
        <v>320</v>
      </c>
      <c r="C11" t="s">
        <v>280</v>
      </c>
      <c r="D11" s="14" t="s">
        <v>256</v>
      </c>
      <c r="E11" s="15" t="s">
        <v>254</v>
      </c>
    </row>
    <row r="12" spans="1:12" x14ac:dyDescent="0.2">
      <c r="A12" t="s">
        <v>16</v>
      </c>
      <c r="B12" t="s">
        <v>321</v>
      </c>
      <c r="C12" t="s">
        <v>280</v>
      </c>
      <c r="D12" s="37" t="s">
        <v>322</v>
      </c>
    </row>
    <row r="13" spans="1:12" x14ac:dyDescent="0.2">
      <c r="A13" t="s">
        <v>323</v>
      </c>
      <c r="B13" t="s">
        <v>321</v>
      </c>
      <c r="C13" t="s">
        <v>241</v>
      </c>
      <c r="D13" s="37" t="s">
        <v>322</v>
      </c>
      <c r="E13" s="15" t="s">
        <v>253</v>
      </c>
    </row>
    <row r="14" spans="1:12" x14ac:dyDescent="0.2">
      <c r="A14" t="s">
        <v>77</v>
      </c>
      <c r="B14" t="s">
        <v>324</v>
      </c>
      <c r="C14" t="s">
        <v>280</v>
      </c>
      <c r="D14" s="14" t="s">
        <v>325</v>
      </c>
      <c r="E14" s="15" t="s">
        <v>261</v>
      </c>
    </row>
  </sheetData>
  <phoneticPr fontId="11" type="noConversion"/>
  <hyperlinks>
    <hyperlink ref="E5" r:id="rId1" location="B2" xr:uid="{67D95C54-919A-CA41-AA82-47B5CCFC92C0}"/>
    <hyperlink ref="E6" r:id="rId2" location="B2" display="https://pmc.ncbi.nlm.nih.gov/articles/PMC9623034/#B2" xr:uid="{FF7C2FA3-2768-F948-BB1B-6E87BF13FF55}"/>
    <hyperlink ref="E11" r:id="rId3" xr:uid="{1E86E90D-AA46-3441-ABD0-D46225914124}"/>
    <hyperlink ref="E13" r:id="rId4" xr:uid="{5ECEBA3A-E6BE-5E48-89E0-3CBA7E9EC34B}"/>
    <hyperlink ref="E14" r:id="rId5" xr:uid="{A66B901E-C765-9347-8073-B17457966FD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F5CF-AB42-2F4C-B10D-0BFF30CE79F3}">
  <dimension ref="A1:BM26"/>
  <sheetViews>
    <sheetView topLeftCell="AS1" workbookViewId="0">
      <selection activeCell="AY19" sqref="A1:XFD1048576"/>
    </sheetView>
  </sheetViews>
  <sheetFormatPr baseColWidth="10" defaultRowHeight="15" x14ac:dyDescent="0.2"/>
  <sheetData>
    <row r="1" spans="1:65" x14ac:dyDescent="0.2">
      <c r="A1" s="17" t="s">
        <v>275</v>
      </c>
      <c r="B1" s="17">
        <v>25765673</v>
      </c>
      <c r="C1" s="17">
        <v>26513030</v>
      </c>
      <c r="D1" s="17">
        <v>27261747</v>
      </c>
      <c r="E1" s="17">
        <v>27984155</v>
      </c>
      <c r="F1" s="17">
        <v>28704674</v>
      </c>
      <c r="G1" s="17">
        <v>29435571</v>
      </c>
      <c r="H1" s="17">
        <v>30130983</v>
      </c>
      <c r="I1" s="17">
        <v>30838302</v>
      </c>
      <c r="J1" s="17">
        <v>31544266</v>
      </c>
      <c r="K1" s="17">
        <v>32240827</v>
      </c>
      <c r="L1" s="17">
        <v>32882704</v>
      </c>
      <c r="M1" s="17">
        <v>33505406</v>
      </c>
      <c r="N1" s="17">
        <v>34103149</v>
      </c>
      <c r="O1" s="17">
        <v>34692266</v>
      </c>
      <c r="P1" s="17">
        <v>35280725</v>
      </c>
      <c r="Q1" s="17">
        <v>35848523</v>
      </c>
      <c r="R1" s="17">
        <v>36411795</v>
      </c>
      <c r="S1" s="17">
        <v>36969185</v>
      </c>
      <c r="T1" s="17">
        <v>37534236</v>
      </c>
      <c r="U1" s="17">
        <v>38123775</v>
      </c>
      <c r="V1" s="17">
        <v>38723248</v>
      </c>
      <c r="W1" s="17">
        <v>39326352</v>
      </c>
      <c r="X1" s="17">
        <v>39910403</v>
      </c>
      <c r="Y1" s="17">
        <v>40405956</v>
      </c>
      <c r="Z1" s="17">
        <v>40805744</v>
      </c>
      <c r="AA1" s="17">
        <v>41213674</v>
      </c>
      <c r="AB1" s="17">
        <v>41621690</v>
      </c>
      <c r="AC1" s="17">
        <v>42031247</v>
      </c>
      <c r="AD1" s="17">
        <v>42449038</v>
      </c>
      <c r="AE1" s="17">
        <v>42869283</v>
      </c>
      <c r="AF1" s="17">
        <v>43295704</v>
      </c>
      <c r="AG1" s="17">
        <v>43747962</v>
      </c>
      <c r="AH1" s="17">
        <v>44194628</v>
      </c>
      <c r="AI1" s="17">
        <v>44641540</v>
      </c>
      <c r="AJ1" s="17">
        <v>45092991</v>
      </c>
      <c r="AK1" s="17">
        <v>45524681</v>
      </c>
      <c r="AL1" s="17">
        <v>45953580</v>
      </c>
      <c r="AM1" s="17">
        <v>46286503</v>
      </c>
      <c r="AN1" s="17">
        <v>46616677</v>
      </c>
      <c r="AO1" s="17">
        <v>47008111</v>
      </c>
      <c r="AP1" s="17">
        <v>47370164</v>
      </c>
      <c r="AQ1" s="17">
        <v>47644736</v>
      </c>
      <c r="AR1" s="17">
        <v>47892330</v>
      </c>
      <c r="AS1" s="17">
        <v>48082519</v>
      </c>
      <c r="AT1" s="17">
        <v>48184561</v>
      </c>
      <c r="AU1" s="17">
        <v>48438292</v>
      </c>
      <c r="AV1" s="17">
        <v>48683638</v>
      </c>
      <c r="AW1" s="17">
        <v>49054708</v>
      </c>
      <c r="AX1" s="17">
        <v>49307835</v>
      </c>
      <c r="AY1" s="17">
        <v>49554112</v>
      </c>
      <c r="AZ1" s="17">
        <v>49936638</v>
      </c>
      <c r="BA1" s="17">
        <v>50199853</v>
      </c>
      <c r="BB1" s="17">
        <v>50428893</v>
      </c>
      <c r="BC1" s="17">
        <v>50746659</v>
      </c>
      <c r="BD1" s="17">
        <v>51014947</v>
      </c>
      <c r="BE1" s="17">
        <v>51217803</v>
      </c>
      <c r="BF1" s="17">
        <v>51361911</v>
      </c>
      <c r="BG1" s="17">
        <v>51585058</v>
      </c>
      <c r="BH1" s="17">
        <v>51764822</v>
      </c>
      <c r="BI1" s="17">
        <v>51836239</v>
      </c>
      <c r="BJ1" s="17">
        <v>51769539</v>
      </c>
      <c r="BK1" s="17">
        <v>51672569</v>
      </c>
      <c r="BL1" s="17">
        <v>51712619</v>
      </c>
      <c r="BM1" s="17">
        <v>51751065</v>
      </c>
    </row>
    <row r="6" spans="1:65" x14ac:dyDescent="0.2">
      <c r="A6" s="18">
        <v>11722953</v>
      </c>
      <c r="B6" s="18">
        <v>11990713</v>
      </c>
      <c r="C6" s="18">
        <v>12262882</v>
      </c>
      <c r="D6" s="18">
        <v>12567057</v>
      </c>
      <c r="E6" s="18">
        <v>12889770</v>
      </c>
      <c r="F6" s="18">
        <v>13219369</v>
      </c>
      <c r="G6" s="18">
        <v>13569094</v>
      </c>
      <c r="H6" s="18">
        <v>13958350</v>
      </c>
      <c r="I6" s="18">
        <v>14365596</v>
      </c>
      <c r="J6" s="18">
        <v>14767615</v>
      </c>
      <c r="K6" s="18">
        <v>15172775</v>
      </c>
      <c r="L6" s="18">
        <v>15572457</v>
      </c>
      <c r="M6" s="18">
        <v>15975069</v>
      </c>
      <c r="N6" s="18">
        <v>16350367</v>
      </c>
      <c r="O6" s="18">
        <v>16673121</v>
      </c>
      <c r="P6" s="18">
        <v>16971055</v>
      </c>
      <c r="Q6" s="18">
        <v>17243450</v>
      </c>
      <c r="R6" s="18">
        <v>17492798</v>
      </c>
      <c r="S6" s="18">
        <v>17735995</v>
      </c>
      <c r="T6" s="18">
        <v>17983470</v>
      </c>
      <c r="U6" s="18">
        <v>18236786</v>
      </c>
      <c r="V6" s="18">
        <v>18501295</v>
      </c>
      <c r="W6" s="18">
        <v>18776357</v>
      </c>
      <c r="X6" s="18">
        <v>19054034</v>
      </c>
      <c r="Y6" s="18">
        <v>19335043</v>
      </c>
      <c r="Z6" s="18">
        <v>19620388</v>
      </c>
      <c r="AA6" s="18">
        <v>19910855</v>
      </c>
      <c r="AB6" s="18">
        <v>20205483</v>
      </c>
      <c r="AC6" s="18">
        <v>20503161</v>
      </c>
      <c r="AD6" s="18">
        <v>20804367</v>
      </c>
      <c r="AE6" s="18">
        <v>21112137</v>
      </c>
      <c r="AF6" s="18">
        <v>21428638</v>
      </c>
      <c r="AG6" s="18">
        <v>21750911</v>
      </c>
      <c r="AH6" s="18">
        <v>22073352</v>
      </c>
      <c r="AI6" s="18">
        <v>22393975</v>
      </c>
      <c r="AJ6" s="18">
        <v>22669304</v>
      </c>
      <c r="AK6" s="18">
        <v>22895746</v>
      </c>
      <c r="AL6" s="18">
        <v>23110830</v>
      </c>
      <c r="AM6" s="18">
        <v>23311564</v>
      </c>
      <c r="AN6" s="18">
        <v>23497599</v>
      </c>
      <c r="AO6" s="18">
        <v>23665910</v>
      </c>
      <c r="AP6" s="18">
        <v>23815358</v>
      </c>
      <c r="AQ6" s="18">
        <v>23943973</v>
      </c>
      <c r="AR6" s="18">
        <v>24090380</v>
      </c>
      <c r="AS6" s="18">
        <v>24254943</v>
      </c>
      <c r="AT6" s="18">
        <v>24396433</v>
      </c>
      <c r="AU6" s="18">
        <v>24524507</v>
      </c>
      <c r="AV6" s="18">
        <v>24646383</v>
      </c>
      <c r="AW6" s="18">
        <v>24764618</v>
      </c>
      <c r="AX6" s="18">
        <v>24878332</v>
      </c>
      <c r="AY6" s="18">
        <v>24987258</v>
      </c>
      <c r="AZ6" s="18">
        <v>25097874</v>
      </c>
      <c r="BA6" s="18">
        <v>25211728</v>
      </c>
      <c r="BB6" s="18">
        <v>25329451</v>
      </c>
      <c r="BC6" s="18">
        <v>25451262</v>
      </c>
      <c r="BD6" s="18">
        <v>25575350</v>
      </c>
      <c r="BE6" s="18">
        <v>25698326</v>
      </c>
      <c r="BF6" s="18">
        <v>25817709</v>
      </c>
      <c r="BG6" s="18">
        <v>25931147</v>
      </c>
      <c r="BH6" s="18">
        <v>26037632</v>
      </c>
      <c r="BI6" s="18">
        <v>26136312</v>
      </c>
      <c r="BJ6" s="18">
        <v>26232534</v>
      </c>
      <c r="BK6" s="18">
        <v>26328845</v>
      </c>
      <c r="BL6" s="18">
        <v>26418204</v>
      </c>
      <c r="BM6" s="18">
        <v>26498823</v>
      </c>
    </row>
    <row r="10" spans="1:65" x14ac:dyDescent="0.2">
      <c r="A10" s="18">
        <v>42.073</v>
      </c>
      <c r="B10" s="18">
        <v>40.850999999999999</v>
      </c>
      <c r="C10" s="18">
        <v>38.973999999999997</v>
      </c>
      <c r="D10" s="18">
        <v>37.194000000000003</v>
      </c>
      <c r="E10" s="18">
        <v>35.173999999999999</v>
      </c>
      <c r="F10" s="18">
        <v>33.753999999999998</v>
      </c>
      <c r="G10" s="18">
        <v>32.786999999999999</v>
      </c>
      <c r="H10" s="18">
        <v>31.529</v>
      </c>
      <c r="I10" s="18">
        <v>30.742999999999999</v>
      </c>
      <c r="J10" s="18">
        <v>30.318000000000001</v>
      </c>
      <c r="K10" s="18">
        <v>31.2</v>
      </c>
      <c r="L10" s="18">
        <v>31.2</v>
      </c>
      <c r="M10" s="18">
        <v>28.4</v>
      </c>
      <c r="N10" s="18">
        <v>28.3</v>
      </c>
      <c r="O10" s="18">
        <v>26.6</v>
      </c>
      <c r="P10" s="18">
        <v>24.8</v>
      </c>
      <c r="Q10" s="18">
        <v>22.2</v>
      </c>
      <c r="R10" s="18">
        <v>22.7</v>
      </c>
      <c r="S10" s="18">
        <v>20.3</v>
      </c>
      <c r="T10" s="18">
        <v>23</v>
      </c>
      <c r="U10" s="18">
        <v>22.6</v>
      </c>
      <c r="V10" s="18">
        <v>22.4</v>
      </c>
      <c r="W10" s="18">
        <v>21.6</v>
      </c>
      <c r="X10" s="18">
        <v>19.3</v>
      </c>
      <c r="Y10" s="18">
        <v>16.7</v>
      </c>
      <c r="Z10" s="18">
        <v>16.100000000000001</v>
      </c>
      <c r="AA10" s="18">
        <v>15.4</v>
      </c>
      <c r="AB10" s="18">
        <v>15</v>
      </c>
      <c r="AC10" s="18">
        <v>15.1</v>
      </c>
      <c r="AD10" s="18">
        <v>15.1</v>
      </c>
      <c r="AE10" s="18">
        <v>15.2</v>
      </c>
      <c r="AF10" s="18">
        <v>16.399999999999999</v>
      </c>
      <c r="AG10" s="18">
        <v>16.7</v>
      </c>
      <c r="AH10" s="18">
        <v>16</v>
      </c>
      <c r="AI10" s="18">
        <v>16</v>
      </c>
      <c r="AJ10" s="18">
        <v>15.7</v>
      </c>
      <c r="AK10" s="18">
        <v>15</v>
      </c>
      <c r="AL10" s="18">
        <v>14.5</v>
      </c>
      <c r="AM10" s="18">
        <v>13.7</v>
      </c>
      <c r="AN10" s="18">
        <v>13.2</v>
      </c>
      <c r="AO10" s="18">
        <v>13.5</v>
      </c>
      <c r="AP10" s="18">
        <v>11.7</v>
      </c>
      <c r="AQ10" s="18">
        <v>10.3</v>
      </c>
      <c r="AR10" s="18">
        <v>10.199999999999999</v>
      </c>
      <c r="AS10" s="18">
        <v>9.8000000000000007</v>
      </c>
      <c r="AT10" s="18">
        <v>9</v>
      </c>
      <c r="AU10" s="18">
        <v>9.1999999999999993</v>
      </c>
      <c r="AV10" s="18">
        <v>10.1</v>
      </c>
      <c r="AW10" s="18">
        <v>9.4</v>
      </c>
      <c r="AX10" s="18">
        <v>9</v>
      </c>
      <c r="AY10" s="18">
        <v>9.4</v>
      </c>
      <c r="AZ10" s="18">
        <v>9.4</v>
      </c>
      <c r="BA10" s="18">
        <v>9.6</v>
      </c>
      <c r="BB10" s="18">
        <v>8.6</v>
      </c>
      <c r="BC10" s="18">
        <v>8.6</v>
      </c>
      <c r="BD10" s="18">
        <v>8.6</v>
      </c>
      <c r="BE10" s="18">
        <v>7.9</v>
      </c>
      <c r="BF10" s="18">
        <v>7</v>
      </c>
      <c r="BG10" s="18">
        <v>6.4</v>
      </c>
      <c r="BH10" s="18">
        <v>5.9</v>
      </c>
      <c r="BI10" s="18">
        <v>5.3</v>
      </c>
      <c r="BJ10" s="18">
        <v>5.0999999999999996</v>
      </c>
      <c r="BK10" s="18">
        <v>4.9000000000000004</v>
      </c>
      <c r="BL10" s="18">
        <v>4.5</v>
      </c>
    </row>
    <row r="14" spans="1:65" x14ac:dyDescent="0.2">
      <c r="A14" s="18">
        <v>34.841999999999999</v>
      </c>
      <c r="B14" s="18">
        <v>32.308999999999997</v>
      </c>
      <c r="C14" s="18">
        <v>33.987000000000002</v>
      </c>
      <c r="D14" s="18">
        <v>36.134</v>
      </c>
      <c r="E14" s="18">
        <v>35.393999999999998</v>
      </c>
      <c r="F14" s="18">
        <v>35.396000000000001</v>
      </c>
      <c r="G14" s="18">
        <v>36.594000000000001</v>
      </c>
      <c r="H14" s="18">
        <v>39.307000000000002</v>
      </c>
      <c r="I14" s="18">
        <v>37.054000000000002</v>
      </c>
      <c r="J14" s="18">
        <v>36.220999999999997</v>
      </c>
      <c r="K14" s="18">
        <v>35.277000000000001</v>
      </c>
      <c r="L14" s="18">
        <v>33.405999999999999</v>
      </c>
      <c r="M14" s="18">
        <v>33.680999999999997</v>
      </c>
      <c r="N14" s="18">
        <v>28.18</v>
      </c>
      <c r="O14" s="18">
        <v>25.562000000000001</v>
      </c>
      <c r="P14" s="18">
        <v>23.945</v>
      </c>
      <c r="Q14" s="18">
        <v>21.513000000000002</v>
      </c>
      <c r="R14" s="18">
        <v>20.370999999999999</v>
      </c>
      <c r="S14" s="18">
        <v>20.07</v>
      </c>
      <c r="T14" s="18">
        <v>20.202999999999999</v>
      </c>
      <c r="U14" s="18">
        <v>20.099</v>
      </c>
      <c r="V14" s="18">
        <v>20.815999999999999</v>
      </c>
      <c r="W14" s="18">
        <v>20.635000000000002</v>
      </c>
      <c r="X14" s="18">
        <v>20.475999999999999</v>
      </c>
      <c r="Y14" s="18">
        <v>20.399999999999999</v>
      </c>
      <c r="Z14" s="18">
        <v>20.376000000000001</v>
      </c>
      <c r="AA14" s="18">
        <v>20.405000000000001</v>
      </c>
      <c r="AB14" s="18">
        <v>20.321999999999999</v>
      </c>
      <c r="AC14" s="18">
        <v>20.242999999999999</v>
      </c>
      <c r="AD14" s="18">
        <v>20.210999999999999</v>
      </c>
      <c r="AE14" s="18">
        <v>20.45</v>
      </c>
      <c r="AF14" s="18">
        <v>20.611000000000001</v>
      </c>
      <c r="AG14" s="18">
        <v>20.524999999999999</v>
      </c>
      <c r="AH14" s="18">
        <v>20.36</v>
      </c>
      <c r="AI14" s="18">
        <v>20.408999999999999</v>
      </c>
      <c r="AJ14" s="18">
        <v>20.344000000000001</v>
      </c>
      <c r="AK14" s="18">
        <v>20.018999999999998</v>
      </c>
      <c r="AL14" s="18">
        <v>19.393999999999998</v>
      </c>
      <c r="AM14" s="18">
        <v>18.863</v>
      </c>
      <c r="AN14" s="18">
        <v>18.260999999999999</v>
      </c>
      <c r="AO14" s="18">
        <v>17.521000000000001</v>
      </c>
      <c r="AP14" s="18">
        <v>16.893999999999998</v>
      </c>
      <c r="AQ14" s="18">
        <v>16.05</v>
      </c>
      <c r="AR14" s="18">
        <v>15.318</v>
      </c>
      <c r="AS14" s="18">
        <v>14.599</v>
      </c>
      <c r="AT14" s="18">
        <v>13.903</v>
      </c>
      <c r="AU14" s="18">
        <v>14.021000000000001</v>
      </c>
      <c r="AV14" s="18">
        <v>13.856</v>
      </c>
      <c r="AW14" s="18">
        <v>13.923</v>
      </c>
      <c r="AX14" s="18">
        <v>13.403</v>
      </c>
      <c r="AY14" s="18">
        <v>13.294</v>
      </c>
      <c r="AZ14" s="18">
        <v>13.273</v>
      </c>
      <c r="BA14" s="18">
        <v>13.316000000000001</v>
      </c>
      <c r="BB14" s="18">
        <v>13.356999999999999</v>
      </c>
      <c r="BC14" s="18">
        <v>13.411</v>
      </c>
      <c r="BD14" s="18">
        <v>13.423</v>
      </c>
      <c r="BE14" s="18">
        <v>13.458</v>
      </c>
      <c r="BF14" s="18">
        <v>13.474</v>
      </c>
      <c r="BG14" s="18">
        <v>13.427</v>
      </c>
      <c r="BH14" s="18">
        <v>13.404999999999999</v>
      </c>
      <c r="BI14" s="18">
        <v>13.391</v>
      </c>
      <c r="BJ14" s="18">
        <v>13.266999999999999</v>
      </c>
      <c r="BK14" s="18">
        <v>13.148999999999999</v>
      </c>
      <c r="BL14" s="18">
        <v>12.946999999999999</v>
      </c>
    </row>
    <row r="17" spans="1:65" x14ac:dyDescent="0.2">
      <c r="AU17" s="18">
        <v>12.967000000000001</v>
      </c>
      <c r="AV17" s="18">
        <v>12.512</v>
      </c>
      <c r="AW17" s="18">
        <v>12.097</v>
      </c>
      <c r="AX17" s="18">
        <v>12.037000000000001</v>
      </c>
      <c r="AY17" s="18">
        <v>11.75</v>
      </c>
      <c r="AZ17" s="18">
        <v>11.42</v>
      </c>
      <c r="BA17" s="18">
        <v>11.603999999999999</v>
      </c>
      <c r="BB17" s="18">
        <v>8.5570000000000004</v>
      </c>
      <c r="BC17" s="18">
        <v>8.5470000000000006</v>
      </c>
      <c r="BD17" s="18">
        <v>8.31</v>
      </c>
    </row>
    <row r="23" spans="1:65" x14ac:dyDescent="0.2">
      <c r="A23" s="18">
        <v>11722953</v>
      </c>
      <c r="B23" s="18">
        <v>11990713</v>
      </c>
      <c r="C23" s="18">
        <v>12262882</v>
      </c>
      <c r="D23" s="18">
        <v>12567057</v>
      </c>
      <c r="E23" s="18">
        <v>12889770</v>
      </c>
      <c r="F23" s="18">
        <v>13219369</v>
      </c>
      <c r="G23" s="18">
        <v>13569094</v>
      </c>
      <c r="H23" s="18">
        <v>13958350</v>
      </c>
      <c r="I23" s="18">
        <v>14365596</v>
      </c>
      <c r="J23" s="18">
        <v>14767615</v>
      </c>
      <c r="K23" s="18">
        <v>15172775</v>
      </c>
      <c r="L23" s="18">
        <v>15572457</v>
      </c>
      <c r="M23" s="18">
        <v>15975069</v>
      </c>
      <c r="N23" s="18">
        <v>16350367</v>
      </c>
      <c r="O23" s="18">
        <v>16673121</v>
      </c>
      <c r="P23" s="18">
        <v>16971055</v>
      </c>
      <c r="Q23" s="18">
        <v>17243450</v>
      </c>
      <c r="R23" s="18">
        <v>17492798</v>
      </c>
      <c r="S23" s="18">
        <v>17735995</v>
      </c>
      <c r="T23" s="18">
        <v>17983470</v>
      </c>
      <c r="U23" s="18">
        <v>18236786</v>
      </c>
      <c r="V23" s="18">
        <v>18501295</v>
      </c>
      <c r="W23" s="18">
        <v>18776357</v>
      </c>
      <c r="X23" s="18">
        <v>19054034</v>
      </c>
      <c r="Y23" s="18">
        <v>19335043</v>
      </c>
      <c r="Z23" s="18">
        <v>19620388</v>
      </c>
      <c r="AA23" s="18">
        <v>19910855</v>
      </c>
      <c r="AB23" s="18">
        <v>20205483</v>
      </c>
      <c r="AC23" s="18">
        <v>20503161</v>
      </c>
      <c r="AD23" s="18">
        <v>20804367</v>
      </c>
      <c r="AE23" s="18">
        <v>21112137</v>
      </c>
      <c r="AF23" s="18">
        <v>21428638</v>
      </c>
      <c r="AG23" s="18">
        <v>21750911</v>
      </c>
      <c r="AH23" s="18">
        <v>22073352</v>
      </c>
      <c r="AI23" s="18">
        <v>22393975</v>
      </c>
      <c r="AJ23" s="18">
        <v>22669304</v>
      </c>
      <c r="AK23" s="18">
        <v>22895746</v>
      </c>
      <c r="AL23" s="18">
        <v>23110830</v>
      </c>
      <c r="AM23" s="18">
        <v>23311564</v>
      </c>
      <c r="AN23" s="18">
        <v>23497599</v>
      </c>
      <c r="AO23" s="18">
        <v>23665910</v>
      </c>
      <c r="AP23" s="18">
        <v>23815358</v>
      </c>
      <c r="AQ23" s="18">
        <v>23943973</v>
      </c>
      <c r="AR23" s="18">
        <v>24090380</v>
      </c>
      <c r="AS23" s="18">
        <v>24254943</v>
      </c>
      <c r="AT23" s="18">
        <v>24396433</v>
      </c>
      <c r="AU23" s="18">
        <v>24524507</v>
      </c>
      <c r="AV23" s="18">
        <v>24646383</v>
      </c>
      <c r="AW23" s="18">
        <v>24764618</v>
      </c>
      <c r="AX23" s="18">
        <v>24878332</v>
      </c>
      <c r="AY23" s="18">
        <v>24987258</v>
      </c>
      <c r="AZ23" s="18">
        <v>25097874</v>
      </c>
      <c r="BA23" s="18">
        <v>25211728</v>
      </c>
      <c r="BB23" s="18">
        <v>25329451</v>
      </c>
      <c r="BC23" s="18">
        <v>25451262</v>
      </c>
      <c r="BD23" s="18">
        <v>25575350</v>
      </c>
      <c r="BE23" s="18">
        <v>25698326</v>
      </c>
      <c r="BF23" s="18">
        <v>25817709</v>
      </c>
      <c r="BG23" s="18">
        <v>25931147</v>
      </c>
      <c r="BH23" s="18">
        <v>26037632</v>
      </c>
      <c r="BI23" s="18">
        <v>26136312</v>
      </c>
      <c r="BJ23" s="18">
        <v>26232534</v>
      </c>
      <c r="BK23" s="18">
        <v>26328845</v>
      </c>
      <c r="BL23" s="18">
        <v>26418204</v>
      </c>
      <c r="BM23" s="18">
        <v>26498823</v>
      </c>
    </row>
    <row r="26" spans="1:65" x14ac:dyDescent="0.2">
      <c r="A26" s="18">
        <v>11.151999999999999</v>
      </c>
      <c r="B26" s="18">
        <v>10.81</v>
      </c>
      <c r="C26" s="18">
        <v>10.621</v>
      </c>
      <c r="D26" s="18">
        <v>10.526999999999999</v>
      </c>
      <c r="E26" s="18">
        <v>10.287000000000001</v>
      </c>
      <c r="F26" s="18">
        <v>10.01</v>
      </c>
      <c r="G26" s="18">
        <v>9.7769999999999992</v>
      </c>
      <c r="H26" s="18">
        <v>9.6020000000000003</v>
      </c>
      <c r="I26" s="18">
        <v>9.2210000000000001</v>
      </c>
      <c r="J26" s="18">
        <v>8.8510000000000009</v>
      </c>
      <c r="K26" s="18">
        <v>8.51</v>
      </c>
      <c r="L26" s="18">
        <v>8.1549999999999994</v>
      </c>
      <c r="M26" s="18">
        <v>7.891</v>
      </c>
      <c r="N26" s="18">
        <v>7.4710000000000001</v>
      </c>
      <c r="O26" s="18">
        <v>7.1550000000000002</v>
      </c>
      <c r="P26" s="18">
        <v>6.9180000000000001</v>
      </c>
      <c r="Q26" s="18">
        <v>6.6760000000000002</v>
      </c>
      <c r="R26" s="18">
        <v>6.4870000000000001</v>
      </c>
      <c r="S26" s="18">
        <v>6.3390000000000004</v>
      </c>
      <c r="T26" s="18">
        <v>6.2229999999999999</v>
      </c>
      <c r="U26" s="18">
        <v>6.1050000000000004</v>
      </c>
      <c r="V26" s="18">
        <v>6.0170000000000003</v>
      </c>
      <c r="W26" s="18">
        <v>5.9180000000000001</v>
      </c>
      <c r="X26" s="18">
        <v>5.8310000000000004</v>
      </c>
      <c r="Y26" s="18">
        <v>5.7640000000000002</v>
      </c>
      <c r="Z26" s="18">
        <v>5.7119999999999997</v>
      </c>
      <c r="AA26" s="18">
        <v>5.6779999999999999</v>
      </c>
      <c r="AB26" s="18">
        <v>5.6710000000000003</v>
      </c>
      <c r="AC26" s="18">
        <v>5.6449999999999996</v>
      </c>
      <c r="AD26" s="18">
        <v>5.6429999999999998</v>
      </c>
      <c r="AE26" s="18">
        <v>5.65</v>
      </c>
      <c r="AF26" s="18">
        <v>5.6520000000000001</v>
      </c>
      <c r="AG26" s="18">
        <v>5.6289999999999996</v>
      </c>
      <c r="AH26" s="18">
        <v>5.8230000000000004</v>
      </c>
      <c r="AI26" s="18">
        <v>6.0810000000000004</v>
      </c>
      <c r="AJ26" s="18">
        <v>10.048999999999999</v>
      </c>
      <c r="AK26" s="18">
        <v>10.144</v>
      </c>
      <c r="AL26" s="18">
        <v>10.25</v>
      </c>
      <c r="AM26" s="18">
        <v>10.387</v>
      </c>
      <c r="AN26" s="18">
        <v>10.532</v>
      </c>
      <c r="AO26" s="18">
        <v>10.693</v>
      </c>
      <c r="AP26" s="18">
        <v>10.875999999999999</v>
      </c>
      <c r="AQ26" s="18">
        <v>11.058999999999999</v>
      </c>
      <c r="AR26" s="18">
        <v>7.8970000000000002</v>
      </c>
      <c r="AS26" s="18">
        <v>8.1739999999999995</v>
      </c>
      <c r="AT26" s="18">
        <v>8.4610000000000003</v>
      </c>
      <c r="AU26" s="18">
        <v>8.7539999999999996</v>
      </c>
      <c r="AV26" s="18">
        <v>8.9659999999999993</v>
      </c>
      <c r="AW26" s="18">
        <v>8.9960000000000004</v>
      </c>
      <c r="AX26" s="18">
        <v>8.92</v>
      </c>
      <c r="AY26" s="18">
        <v>8.7940000000000005</v>
      </c>
      <c r="AZ26" s="18">
        <v>8.6989999999999998</v>
      </c>
      <c r="BA26" s="18">
        <v>8.6050000000000004</v>
      </c>
      <c r="BB26" s="18">
        <v>8.52</v>
      </c>
      <c r="BC26" s="18">
        <v>8.4179999999999993</v>
      </c>
      <c r="BD26" s="18">
        <v>8.4429999999999996</v>
      </c>
      <c r="BE26" s="18">
        <v>8.5920000000000005</v>
      </c>
      <c r="BF26" s="18">
        <v>8.8190000000000008</v>
      </c>
      <c r="BG26" s="18">
        <v>9.0630000000000006</v>
      </c>
      <c r="BH26" s="18">
        <v>9.3260000000000005</v>
      </c>
      <c r="BI26" s="18">
        <v>9.7210000000000001</v>
      </c>
      <c r="BJ26" s="18">
        <v>9.4659999999999993</v>
      </c>
      <c r="BK26" s="18">
        <v>9.484</v>
      </c>
      <c r="BL26" s="18">
        <v>9.6839999999999993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NSO data</vt:lpstr>
      <vt:lpstr>Countries min max</vt:lpstr>
      <vt:lpstr>New France</vt:lpstr>
      <vt:lpstr>Quebec Catholics</vt:lpstr>
      <vt:lpstr>Canada</vt:lpstr>
      <vt:lpstr>Quebec</vt:lpstr>
      <vt:lpstr>Estonia</vt:lpstr>
      <vt:lpstr>Korean Peninsula</vt:lpstr>
      <vt:lpstr>Iceland</vt:lpstr>
      <vt:lpstr>Taiwan</vt:lpstr>
      <vt:lpstr>Series - Metadata</vt:lpstr>
      <vt:lpstr>Data Pasting Sheet (KEEP)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Alter, George</dc:creator>
  <cp:lastModifiedBy>Burman, Annika</cp:lastModifiedBy>
  <dcterms:created xsi:type="dcterms:W3CDTF">2025-09-24T18:28:08Z</dcterms:created>
  <dcterms:modified xsi:type="dcterms:W3CDTF">2026-01-09T21:18:10Z</dcterms:modified>
</cp:coreProperties>
</file>